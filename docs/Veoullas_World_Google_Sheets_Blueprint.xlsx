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  <Override PartName="/xl/worksheets/sheet27.xml" ContentType="application/vnd.openxmlformats-officedocument.spreadsheetml.worksheet+xml"/>
  <Override PartName="/xl/tables/table26.xml" ContentType="application/vnd.openxmlformats-officedocument.spreadsheetml.table+xml"/>
  <Override PartName="/xl/worksheets/sheet28.xml" ContentType="application/vnd.openxmlformats-officedocument.spreadsheetml.worksheet+xml"/>
  <Override PartName="/xl/tables/table27.xml" ContentType="application/vnd.openxmlformats-officedocument.spreadsheetml.table+xml"/>
  <Override PartName="/xl/worksheets/sheet29.xml" ContentType="application/vnd.openxmlformats-officedocument.spreadsheetml.worksheet+xml"/>
  <Override PartName="/xl/tables/table28.xml" ContentType="application/vnd.openxmlformats-officedocument.spreadsheetml.table+xml"/>
  <Override PartName="/xl/worksheets/sheet30.xml" ContentType="application/vnd.openxmlformats-officedocument.spreadsheetml.worksheet+xml"/>
  <Override PartName="/xl/tables/table29.xml" ContentType="application/vnd.openxmlformats-officedocument.spreadsheetml.table+xml"/>
  <Override PartName="/xl/worksheets/sheet31.xml" ContentType="application/vnd.openxmlformats-officedocument.spreadsheetml.worksheet+xml"/>
  <Override PartName="/xl/tables/table30.xml" ContentType="application/vnd.openxmlformats-officedocument.spreadsheetml.table+xml"/>
  <Override PartName="/xl/worksheets/sheet32.xml" ContentType="application/vnd.openxmlformats-officedocument.spreadsheetml.worksheet+xml"/>
  <Override PartName="/xl/tables/table31.xml" ContentType="application/vnd.openxmlformats-officedocument.spreadsheetml.table+xml"/>
  <Override PartName="/xl/worksheets/sheet33.xml" ContentType="application/vnd.openxmlformats-officedocument.spreadsheetml.worksheet+xml"/>
  <Override PartName="/xl/tables/table32.xml" ContentType="application/vnd.openxmlformats-officedocument.spreadsheetml.table+xml"/>
  <Override PartName="/xl/worksheets/sheet34.xml" ContentType="application/vnd.openxmlformats-officedocument.spreadsheetml.worksheet+xml"/>
  <Override PartName="/xl/tables/table33.xml" ContentType="application/vnd.openxmlformats-officedocument.spreadsheetml.table+xml"/>
  <Override PartName="/xl/worksheets/sheet35.xml" ContentType="application/vnd.openxmlformats-officedocument.spreadsheetml.worksheet+xml"/>
  <Override PartName="/xl/tables/table34.xml" ContentType="application/vnd.openxmlformats-officedocument.spreadsheetml.table+xml"/>
  <Override PartName="/xl/worksheets/sheet36.xml" ContentType="application/vnd.openxmlformats-officedocument.spreadsheetml.worksheet+xml"/>
  <Override PartName="/xl/tables/table35.xml" ContentType="application/vnd.openxmlformats-officedocument.spreadsheetml.table+xml"/>
  <Override PartName="/xl/worksheets/sheet37.xml" ContentType="application/vnd.openxmlformats-officedocument.spreadsheetml.worksheet+xml"/>
  <Override PartName="/xl/tables/table36.xml" ContentType="application/vnd.openxmlformats-officedocument.spreadsheetml.table+xml"/>
  <Override PartName="/xl/worksheets/sheet38.xml" ContentType="application/vnd.openxmlformats-officedocument.spreadsheetml.worksheet+xml"/>
  <Override PartName="/xl/tables/table37.xml" ContentType="application/vnd.openxmlformats-officedocument.spreadsheetml.table+xml"/>
  <Override PartName="/xl/worksheets/sheet39.xml" ContentType="application/vnd.openxmlformats-officedocument.spreadsheetml.worksheet+xml"/>
  <Override PartName="/xl/tables/table38.xml" ContentType="application/vnd.openxmlformats-officedocument.spreadsheetml.table+xml"/>
  <Override PartName="/xl/worksheets/sheet40.xml" ContentType="application/vnd.openxmlformats-officedocument.spreadsheetml.worksheet+xml"/>
  <Override PartName="/xl/tables/table39.xml" ContentType="application/vnd.openxmlformats-officedocument.spreadsheetml.table+xml"/>
  <Override PartName="/xl/worksheets/sheet41.xml" ContentType="application/vnd.openxmlformats-officedocument.spreadsheetml.worksheet+xml"/>
  <Override PartName="/xl/tables/table40.xml" ContentType="application/vnd.openxmlformats-officedocument.spreadsheetml.table+xml"/>
  <Override PartName="/xl/worksheets/sheet42.xml" ContentType="application/vnd.openxmlformats-officedocument.spreadsheetml.worksheet+xml"/>
  <Override PartName="/xl/tables/table4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8ddb49abef40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2a1d813d993c4829"/>
    <x:sheet xmlns:r="http://schemas.openxmlformats.org/officeDocument/2006/relationships" name="01_APP_CONFIG" sheetId="2" r:id="R94ab968714b747e4"/>
    <x:sheet xmlns:r="http://schemas.openxmlformats.org/officeDocument/2006/relationships" name="02_USERS" sheetId="3" r:id="R6c04432d8f9a4c62"/>
    <x:sheet xmlns:r="http://schemas.openxmlformats.org/officeDocument/2006/relationships" name="03_SECRETS_DEV" sheetId="4" r:id="R67d880c93d494014"/>
    <x:sheet xmlns:r="http://schemas.openxmlformats.org/officeDocument/2006/relationships" name="04_ADMIN_FLAGS" sheetId="5" r:id="Rd11eedc3630d469a"/>
    <x:sheet xmlns:r="http://schemas.openxmlformats.org/officeDocument/2006/relationships" name="05_ENTRY_LOGS" sheetId="6" r:id="R6afed7d019d84a80"/>
    <x:sheet xmlns:r="http://schemas.openxmlformats.org/officeDocument/2006/relationships" name="06_SESSIONS" sheetId="7" r:id="R299f2ea2678841ac"/>
    <x:sheet xmlns:r="http://schemas.openxmlformats.org/officeDocument/2006/relationships" name="07_LANGUAGES" sheetId="8" r:id="R54a5be3bd5db4e48"/>
    <x:sheet xmlns:r="http://schemas.openxmlformats.org/officeDocument/2006/relationships" name="08_UI_TEXT" sheetId="9" r:id="R108cd8b92505493c"/>
    <x:sheet xmlns:r="http://schemas.openxmlformats.org/officeDocument/2006/relationships" name="09_ICONS" sheetId="10" r:id="Re769965a811a4426"/>
    <x:sheet xmlns:r="http://schemas.openxmlformats.org/officeDocument/2006/relationships" name="10_ASSETS" sheetId="11" r:id="Rf31c57fca35048ee"/>
    <x:sheet xmlns:r="http://schemas.openxmlformats.org/officeDocument/2006/relationships" name="11_LOCATIONS" sheetId="12" r:id="R664e1f50a8da4f6f"/>
    <x:sheet xmlns:r="http://schemas.openxmlformats.org/officeDocument/2006/relationships" name="12_SCENES" sheetId="13" r:id="R06880a4702a94662"/>
    <x:sheet xmlns:r="http://schemas.openxmlformats.org/officeDocument/2006/relationships" name="13_ROUTES" sheetId="14" r:id="Rabfe94f0ab584732"/>
    <x:sheet xmlns:r="http://schemas.openxmlformats.org/officeDocument/2006/relationships" name="14_STORY_BEATS" sheetId="15" r:id="Raa7680628d3b4231"/>
    <x:sheet xmlns:r="http://schemas.openxmlformats.org/officeDocument/2006/relationships" name="15_DIALOGUE" sheetId="16" r:id="R00ca79fc57d84a04"/>
    <x:sheet xmlns:r="http://schemas.openxmlformats.org/officeDocument/2006/relationships" name="16_VOICEOVER" sheetId="17" r:id="Rb1e8273bdeae4ef9"/>
    <x:sheet xmlns:r="http://schemas.openxmlformats.org/officeDocument/2006/relationships" name="17_EVENTS" sheetId="18" r:id="Ra18e096d37984b0e"/>
    <x:sheet xmlns:r="http://schemas.openxmlformats.org/officeDocument/2006/relationships" name="18_EVENT_PHASES" sheetId="19" r:id="R506afa4c3dc9499e"/>
    <x:sheet xmlns:r="http://schemas.openxmlformats.org/officeDocument/2006/relationships" name="19_MESSAGES" sheetId="20" r:id="Rb125d2e5657648f8"/>
    <x:sheet xmlns:r="http://schemas.openxmlformats.org/officeDocument/2006/relationships" name="20_SONGS" sheetId="21" r:id="R35c9a89ea19f4181"/>
    <x:sheet xmlns:r="http://schemas.openxmlformats.org/officeDocument/2006/relationships" name="21_KEYS" sheetId="22" r:id="R724e0a01e18e47a3"/>
    <x:sheet xmlns:r="http://schemas.openxmlformats.org/officeDocument/2006/relationships" name="22_KEY_RULES" sheetId="23" r:id="R4ea10e55efd74d43"/>
    <x:sheet xmlns:r="http://schemas.openxmlformats.org/officeDocument/2006/relationships" name="23_ACHIEVEMENTS" sheetId="24" r:id="R9d4a60e39fca4d32"/>
    <x:sheet xmlns:r="http://schemas.openxmlformats.org/officeDocument/2006/relationships" name="24_PLAYER_PROGRESS" sheetId="25" r:id="R446115b929a749bc"/>
    <x:sheet xmlns:r="http://schemas.openxmlformats.org/officeDocument/2006/relationships" name="25_PLAYER_KEYS" sheetId="26" r:id="Rd37fb8a0af054c3e"/>
    <x:sheet xmlns:r="http://schemas.openxmlformats.org/officeDocument/2006/relationships" name="26_PLAYER_ACHIEV" sheetId="27" r:id="R7e032de0f5b84106"/>
    <x:sheet xmlns:r="http://schemas.openxmlformats.org/officeDocument/2006/relationships" name="27_PLAYER_MESSAGES" sheetId="28" r:id="R0f83a9e34547470e"/>
    <x:sheet xmlns:r="http://schemas.openxmlformats.org/officeDocument/2006/relationships" name="28_FARM_CROPS" sheetId="29" r:id="R5752a05ad71c4b92"/>
    <x:sheet xmlns:r="http://schemas.openxmlformats.org/officeDocument/2006/relationships" name="29_PLAYER_FARM" sheetId="30" r:id="Rf34b4ecd27884b6b"/>
    <x:sheet xmlns:r="http://schemas.openxmlformats.org/officeDocument/2006/relationships" name="30_CHURCH_CONTENT" sheetId="31" r:id="Ra970fc6dc240474a"/>
    <x:sheet xmlns:r="http://schemas.openxmlformats.org/officeDocument/2006/relationships" name="31_CHURCH_QUIZ" sheetId="32" r:id="R59b856c502234159"/>
    <x:sheet xmlns:r="http://schemas.openxmlformats.org/officeDocument/2006/relationships" name="32_ARCADE_GAMES" sheetId="33" r:id="Rd8e08d8ac3c347f6"/>
    <x:sheet xmlns:r="http://schemas.openxmlformats.org/officeDocument/2006/relationships" name="33_PLAYER_SCORES" sheetId="34" r:id="R2274dc04dbdf48ee"/>
    <x:sheet xmlns:r="http://schemas.openxmlformats.org/officeDocument/2006/relationships" name="34_MUSEUM_EXHIBITS" sheetId="35" r:id="R2800404a410a4222"/>
    <x:sheet xmlns:r="http://schemas.openxmlformats.org/officeDocument/2006/relationships" name="35_PLAYER_EXHIBITS" sheetId="36" r:id="R08d2572aecbf435b"/>
    <x:sheet xmlns:r="http://schemas.openxmlformats.org/officeDocument/2006/relationships" name="36_CHARACTERS" sheetId="37" r:id="R135bcb3123b9423e"/>
    <x:sheet xmlns:r="http://schemas.openxmlformats.org/officeDocument/2006/relationships" name="37_CHARACTER_STATE" sheetId="38" r:id="R07e955c2bf4b4a3b"/>
    <x:sheet xmlns:r="http://schemas.openxmlformats.org/officeDocument/2006/relationships" name="38_DATA_DICTIONARY" sheetId="39" r:id="R6fdeb9fc945f40df"/>
    <x:sheet xmlns:r="http://schemas.openxmlformats.org/officeDocument/2006/relationships" name="39_VALIDATION_LISTS" sheetId="40" r:id="R419f47da8d3a4487"/>
    <x:sheet xmlns:r="http://schemas.openxmlformats.org/officeDocument/2006/relationships" name="40_VAR_CONVERSATIONS" sheetId="41" r:id="R17767028986f4f46"/>
    <x:sheet xmlns:r="http://schemas.openxmlformats.org/officeDocument/2006/relationships" name="41_VAR_MEMORIES" sheetId="42" r:id="R0d5fcf5d291f4b0d"/>
  </x:sheets>
</x:workbook>
</file>

<file path=xl/comments1.xml><?xml version="1.0" encoding="utf-8"?>
<x:comments xmlns:x="http://schemas.openxmlformats.org/spreadsheetml/2006/main">
  <x:authors>
    <x:author>tc={826CF364-905A-4245-BF00-7217926DFD5D}</x:author>
  </x:authors>
  <x:commentList>
    <x:comment ref="D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DEV ONLY: plaintext Gate code by explicit prototype decision.</x:t>
        </x:r>
      </x:text>
    </x:comment>
  </x:commentList>
</x:comments>
</file>

<file path=xl/comments2.xml><?xml version="1.0" encoding="utf-8"?>
<x:comments xmlns:x="http://schemas.openxmlformats.org/spreadsheetml/2006/main">
  <x:authors>
    <x:author>tc={4A9EC85A-474B-4B00-9BA6-3849D5F4FB42}</x:author>
  </x:authors>
  <x:commentList>
    <x:comment ref="D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DEV ONLY: Ahmed requested plaintext prototype secrets. Replace before production or public sharing.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2">
    <x:font>
      <x:sz val="11"/>
      <x:name val="Carlito"/>
    </x:font>
    <x:font>
      <x:sz val="10"/>
      <x:color rgb="FF2B2433"/>
      <x:name val="Aptos"/>
    </x:font>
    <x:font>
      <x:b/>
      <x:sz val="10"/>
      <x:color rgb="FFFFFFFF"/>
      <x:name val="Aptos Display"/>
    </x:font>
    <x:font>
      <x:sz val="11"/>
      <x:color rgb="FF2B2433"/>
      <x:name val="Aptos"/>
    </x:font>
    <x:font>
      <x:b/>
      <x:sz val="22"/>
      <x:color rgb="FFFFFFFF"/>
      <x:name val="Aptos Display"/>
    </x:font>
    <x:font>
      <x:i/>
      <x:sz val="11"/>
      <x:color rgb="FF24143D"/>
      <x:name val="Aptos"/>
    </x:font>
    <x:font>
      <x:b/>
      <x:sz val="11"/>
      <x:color rgb="FF24143D"/>
      <x:name val="Aptos"/>
    </x:font>
    <x:font>
      <x:b/>
      <x:sz val="11"/>
      <x:color rgb="FF68459A"/>
      <x:name val="Aptos"/>
    </x:font>
    <x:font>
      <x:b/>
      <x:sz val="16"/>
      <x:color rgb="FF24143D"/>
      <x:name val="Aptos"/>
    </x:font>
    <x:font>
      <x:b/>
      <x:sz val="11"/>
      <x:color rgb="FFFFFFFF"/>
      <x:name val="Aptos"/>
    </x:font>
    <x:font>
      <x:b/>
      <x:sz val="11"/>
      <x:color rgb="FFA22626"/>
      <x:name val="Aptos"/>
    </x:font>
    <x:font>
      <x:b/>
      <x:sz val="11"/>
      <x:color rgb="FF2B2433"/>
      <x:name val="Aptos"/>
    </x:font>
  </x:fonts>
  <x:fills count="12">
    <x:fill>
      <x:patternFill patternType="none"/>
    </x:fill>
    <x:fill>
      <x:patternFill patternType="gray125"/>
    </x:fill>
    <x:fill>
      <x:patternFill patternType="solid">
        <x:fgColor rgb="FF68459A"/>
      </x:patternFill>
    </x:fill>
    <x:fill>
      <x:patternFill patternType="solid">
        <x:fgColor rgb="FFFFFFFF"/>
      </x:patternFill>
    </x:fill>
    <x:fill>
      <x:patternFill patternType="solid">
        <x:fgColor rgb="FFA22626"/>
      </x:patternFill>
    </x:fill>
    <x:fill>
      <x:patternFill patternType="solid">
        <x:fgColor rgb="FFFFF1F1"/>
      </x:patternFill>
    </x:fill>
    <x:fill>
      <x:patternFill patternType="solid">
        <x:fgColor rgb="FF24143D"/>
      </x:patternFill>
    </x:fill>
    <x:fill>
      <x:patternFill patternType="solid">
        <x:fgColor rgb="FFEEE7F6"/>
      </x:patternFill>
    </x:fill>
    <x:fill>
      <x:patternFill patternType="solid">
        <x:fgColor rgb="FFFBF4DF"/>
      </x:patternFill>
    </x:fill>
    <x:fill>
      <x:patternFill patternType="solid">
        <x:fgColor rgb="FFF8F5FB"/>
      </x:patternFill>
    </x:fill>
    <x:fill>
      <x:patternFill patternType="solid">
        <x:fgColor rgb="FFFCE3E3"/>
      </x:patternFill>
    </x:fill>
    <x:fill>
      <x:patternFill patternType="solid">
        <x:fgColor rgb="FFD4A64A"/>
      </x:patternFill>
    </x:fill>
  </x:fills>
  <x:borders count="38">
    <x:border/>
    <x:border>
      <x:left style="medium">
        <x:color rgb="FF24143D"/>
      </x:left>
      <x:top style="medium">
        <x:color rgb="FF24143D"/>
      </x:top>
      <x:bottom style="medium">
        <x:color rgb="FF24143D"/>
      </x:bottom>
    </x:border>
    <x:border>
      <x:top style="medium">
        <x:color rgb="FF24143D"/>
      </x:top>
      <x:bottom style="medium">
        <x:color rgb="FF24143D"/>
      </x:bottom>
    </x:border>
    <x:border>
      <x:right style="medium">
        <x:color rgb="FF24143D"/>
      </x:right>
      <x:top style="medium">
        <x:color rgb="FF24143D"/>
      </x:top>
      <x:bottom style="medium">
        <x:color rgb="FF24143D"/>
      </x:bottom>
    </x:border>
    <x:border>
      <x:right style="thin">
        <x:color rgb="FFDDD4E8"/>
      </x:right>
      <x:bottom style="thin">
        <x:color rgb="FFDDD4E8"/>
      </x:bottom>
    </x:border>
    <x:border>
      <x:left style="thin">
        <x:color rgb="FFDDD4E8"/>
      </x:left>
      <x:right style="thin">
        <x:color rgb="FFDDD4E8"/>
      </x:right>
      <x:bottom style="thin">
        <x:color rgb="FFDDD4E8"/>
      </x:bottom>
    </x:border>
    <x:border>
      <x:left style="thin">
        <x:color rgb="FFDDD4E8"/>
      </x:left>
      <x:bottom style="thin">
        <x:color rgb="FFDDD4E8"/>
      </x:bottom>
    </x:border>
    <x:border>
      <x:right style="thin">
        <x:color rgb="FFDDD4E8"/>
      </x:right>
      <x:top style="thin">
        <x:color rgb="FFDDD4E8"/>
      </x:top>
      <x:bottom style="thin">
        <x:color rgb="FFDDD4E8"/>
      </x:bottom>
    </x:border>
    <x:border>
      <x:left style="thin">
        <x:color rgb="FFDDD4E8"/>
      </x:left>
      <x:right style="thin">
        <x:color rgb="FFDDD4E8"/>
      </x:right>
      <x:top style="thin">
        <x:color rgb="FFDDD4E8"/>
      </x:top>
      <x:bottom style="thin">
        <x:color rgb="FFDDD4E8"/>
      </x:bottom>
    </x:border>
    <x:border>
      <x:left style="thin">
        <x:color rgb="FFDDD4E8"/>
      </x:left>
      <x:top style="thin">
        <x:color rgb="FFDDD4E8"/>
      </x:top>
      <x:bottom style="thin">
        <x:color rgb="FFDDD4E8"/>
      </x:bottom>
    </x:border>
    <x:border>
      <x:right style="thin">
        <x:color rgb="FFDDD4E8"/>
      </x:right>
      <x:top style="thin">
        <x:color rgb="FFDDD4E8"/>
      </x:top>
    </x:border>
    <x:border>
      <x:left style="thin">
        <x:color rgb="FFDDD4E8"/>
      </x:left>
      <x:right style="thin">
        <x:color rgb="FFDDD4E8"/>
      </x:right>
      <x:top style="thin">
        <x:color rgb="FFDDD4E8"/>
      </x:top>
    </x:border>
    <x:border>
      <x:left style="thin">
        <x:color rgb="FFDDD4E8"/>
      </x:left>
      <x:top style="thin">
        <x:color rgb="FFDDD4E8"/>
      </x:top>
    </x:border>
    <x:border>
      <x:left style="medium">
        <x:color rgb="FFA22626"/>
      </x:left>
      <x:top style="medium">
        <x:color rgb="FFA22626"/>
      </x:top>
      <x:bottom style="medium">
        <x:color rgb="FFA22626"/>
      </x:bottom>
    </x:border>
    <x:border>
      <x:top style="medium">
        <x:color rgb="FFA22626"/>
      </x:top>
      <x:bottom style="medium">
        <x:color rgb="FFA22626"/>
      </x:bottom>
    </x:border>
    <x:border>
      <x:right style="medium">
        <x:color rgb="FFA22626"/>
      </x:right>
      <x:top style="medium">
        <x:color rgb="FFA22626"/>
      </x:top>
      <x:bottom style="medium">
        <x:color rgb="FFA22626"/>
      </x:bottom>
    </x:border>
    <x:border>
      <x:right style="thin">
        <x:color rgb="FFDDD4E8"/>
      </x:right>
    </x:border>
    <x:border>
      <x:left style="thin">
        <x:color rgb="FFDDD4E8"/>
      </x:left>
      <x:right style="thin">
        <x:color rgb="FFDDD4E8"/>
      </x:right>
    </x:border>
    <x:border>
      <x:left style="thin">
        <x:color rgb="FFDDD4E8"/>
      </x:left>
    </x:border>
    <x:border>
      <x:left style="thin">
        <x:color rgb="FFD4A64A"/>
      </x:left>
      <x:top style="thin">
        <x:color rgb="FFD4A64A"/>
      </x:top>
      <x:bottom style="thin">
        <x:color rgb="FFD4A64A"/>
      </x:bottom>
    </x:border>
    <x:border>
      <x:top style="thin">
        <x:color rgb="FFD4A64A"/>
      </x:top>
      <x:bottom style="thin">
        <x:color rgb="FFD4A64A"/>
      </x:bottom>
    </x:border>
    <x:border>
      <x:right style="thin">
        <x:color rgb="FFD4A64A"/>
      </x:right>
      <x:top style="thin">
        <x:color rgb="FFD4A64A"/>
      </x:top>
      <x:bottom style="thin">
        <x:color rgb="FFD4A64A"/>
      </x:bottom>
    </x:border>
    <x:border>
      <x:left style="medium">
        <x:color rgb="FF8B6BB5"/>
      </x:left>
      <x:top style="medium">
        <x:color rgb="FF8B6BB5"/>
      </x:top>
    </x:border>
    <x:border>
      <x:right style="medium">
        <x:color rgb="FF8B6BB5"/>
      </x:right>
      <x:top style="medium">
        <x:color rgb="FF8B6BB5"/>
      </x:top>
    </x:border>
    <x:border>
      <x:left style="medium">
        <x:color rgb="FF8B6BB5"/>
      </x:left>
      <x:bottom style="medium">
        <x:color rgb="FF8B6BB5"/>
      </x:bottom>
    </x:border>
    <x:border>
      <x:right style="medium">
        <x:color rgb="FF8B6BB5"/>
      </x:right>
      <x:bottom style="medium">
        <x:color rgb="FF8B6BB5"/>
      </x:bottom>
    </x:border>
    <x:border>
      <x:left style="medium">
        <x:color rgb="FFA22626"/>
      </x:left>
      <x:top style="medium">
        <x:color rgb="FFA22626"/>
      </x:top>
    </x:border>
    <x:border>
      <x:top style="medium">
        <x:color rgb="FFA22626"/>
      </x:top>
    </x:border>
    <x:border>
      <x:right style="medium">
        <x:color rgb="FFA22626"/>
      </x:right>
      <x:top style="medium">
        <x:color rgb="FFA22626"/>
      </x:top>
    </x:border>
    <x:border>
      <x:left style="medium">
        <x:color rgb="FFA22626"/>
      </x:left>
    </x:border>
    <x:border>
      <x:right style="medium">
        <x:color rgb="FFA22626"/>
      </x:right>
    </x:border>
    <x:border>
      <x:left style="medium">
        <x:color rgb="FFA22626"/>
      </x:left>
      <x:bottom style="medium">
        <x:color rgb="FFA22626"/>
      </x:bottom>
    </x:border>
    <x:border>
      <x:bottom style="medium">
        <x:color rgb="FFA22626"/>
      </x:bottom>
    </x:border>
    <x:border>
      <x:right style="medium">
        <x:color rgb="FFA22626"/>
      </x:right>
      <x:bottom style="medium">
        <x:color rgb="FFA22626"/>
      </x:bottom>
    </x:border>
    <x:border>
      <x:right style="thin">
        <x:color rgb="FFD4A64A"/>
      </x:right>
      <x:bottom style="thin">
        <x:color rgb="FFD4A64A"/>
      </x:bottom>
    </x:border>
    <x:border>
      <x:left style="thin">
        <x:color rgb="FFD4A64A"/>
      </x:left>
      <x:bottom style="thin">
        <x:color rgb="FFD4A64A"/>
      </x:bottom>
    </x:border>
    <x:border>
      <x:right style="thin">
        <x:color rgb="FFD4A64A"/>
      </x:right>
      <x:top style="thin">
        <x:color rgb="FFD4A64A"/>
      </x:top>
    </x:border>
    <x:border>
      <x:left style="thin">
        <x:color rgb="FFD4A64A"/>
      </x:left>
      <x:top style="thin">
        <x:color rgb="FFD4A64A"/>
      </x:top>
    </x:border>
  </x:borders>
  <x:cellStyleXfs count="1">
    <x:xf numFmtId="0" fontId="0" fillId="0" borderId="0"/>
  </x:cellStyleXfs>
  <x:cellXfs count="29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4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6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7" xfId="0" applyNumberFormat="1" applyFont="1" applyFill="1" applyBorder="1" applyAlignment="1">
      <x:alignment vertical="center"/>
    </x:xf>
    <x:xf numFmtId="0" fontId="1" fillId="3" borderId="8" xfId="0" applyNumberFormat="1" applyFont="1" applyFill="1" applyBorder="1" applyAlignment="1">
      <x:alignment vertical="center"/>
    </x:xf>
    <x:xf numFmtId="0" fontId="1" fillId="3" borderId="8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9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0" xfId="0" applyNumberFormat="1" applyFont="1" applyFill="1" applyBorder="1" applyAlignment="1">
      <x:alignment vertical="center"/>
    </x:xf>
    <x:xf numFmtId="0" fontId="1" fillId="3" borderId="11" xfId="0" applyNumberFormat="1" applyFont="1" applyFill="1" applyBorder="1" applyAlignment="1">
      <x:alignment vertical="center"/>
    </x:xf>
    <x:xf numFmtId="0" fontId="1" fillId="3" borderId="1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4" xfId="0" applyNumberFormat="1" applyFont="1" applyFill="1" applyBorder="1" applyAlignment="1">
      <x:alignment vertical="center" wrapText="1"/>
    </x:xf>
    <x:xf numFmtId="0" fontId="1" fillId="3" borderId="5" xfId="0" applyNumberFormat="1" applyFont="1" applyFill="1" applyBorder="1" applyAlignment="1">
      <x:alignment vertical="center" wrapText="1"/>
    </x:xf>
    <x:xf numFmtId="0" fontId="1" fillId="3" borderId="5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6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7" xfId="0" applyNumberFormat="1" applyFont="1" applyFill="1" applyBorder="1" applyAlignment="1">
      <x:alignment vertical="center" wrapText="1"/>
    </x:xf>
    <x:xf numFmtId="0" fontId="1" fillId="3" borderId="8" xfId="0" applyNumberFormat="1" applyFont="1" applyFill="1" applyBorder="1" applyAlignment="1">
      <x:alignment vertical="center" wrapText="1"/>
    </x:xf>
    <x:xf numFmtId="0" fontId="1" fillId="3" borderId="8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9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0" xfId="0" applyNumberFormat="1" applyFont="1" applyFill="1" applyBorder="1" applyAlignment="1">
      <x:alignment vertical="center" wrapText="1"/>
    </x:xf>
    <x:xf numFmtId="0" fontId="1" fillId="3" borderId="11" xfId="0" applyNumberFormat="1" applyFont="1" applyFill="1" applyBorder="1" applyAlignment="1">
      <x:alignment vertical="center" wrapText="1"/>
    </x:xf>
    <x:xf numFmtId="0" fontId="1" fillId="3" borderId="1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2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4" xfId="0" applyNumberFormat="1" applyFont="1" applyFill="1" applyBorder="1" applyAlignment="1">
      <x:alignment vertical="top" wrapText="1"/>
    </x:xf>
    <x:xf numFmtId="0" fontId="1" fillId="3" borderId="5" xfId="0" applyNumberFormat="1" applyFont="1" applyFill="1" applyBorder="1" applyAlignment="1">
      <x:alignment vertical="top" wrapText="1"/>
    </x:xf>
    <x:xf numFmtId="0" fontId="1" fillId="3" borderId="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7" xfId="0" applyNumberFormat="1" applyFont="1" applyFill="1" applyBorder="1" applyAlignment="1">
      <x:alignment vertical="top" wrapText="1"/>
    </x:xf>
    <x:xf numFmtId="0" fontId="1" fillId="3" borderId="8" xfId="0" applyNumberFormat="1" applyFont="1" applyFill="1" applyBorder="1" applyAlignment="1">
      <x:alignment vertical="top" wrapText="1"/>
    </x:xf>
    <x:xf numFmtId="0" fontId="1" fillId="3" borderId="8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9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0" xfId="0" applyNumberFormat="1" applyFont="1" applyFill="1" applyBorder="1" applyAlignment="1">
      <x:alignment vertical="top" wrapText="1"/>
    </x:xf>
    <x:xf numFmtId="0" fontId="1" fillId="3" borderId="11" xfId="0" applyNumberFormat="1" applyFont="1" applyFill="1" applyBorder="1" applyAlignment="1">
      <x:alignment vertical="top" wrapText="1"/>
    </x:xf>
    <x:xf numFmtId="0" fontId="1" fillId="3" borderId="1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2" fillId="4" borderId="13" xfId="0" applyNumberFormat="1" applyFont="1" applyFill="1" applyBorder="1" applyAlignment="1">
      <x:alignment vertical="center"/>
    </x:xf>
    <x:xf numFmtId="0" fontId="2" fillId="4" borderId="14" xfId="0" applyNumberFormat="1" applyFont="1" applyFill="1" applyBorder="1" applyAlignment="1">
      <x:alignment vertical="center"/>
    </x:xf>
    <x:xf numFmtId="0" fontId="2" fillId="4" borderId="15" xfId="0" applyNumberFormat="1" applyFont="1" applyFill="1" applyBorder="1" applyAlignment="1">
      <x:alignment vertical="center"/>
    </x:xf>
    <x:xf numFmtId="0" fontId="2" fillId="4" borderId="13" xfId="0" applyNumberFormat="1" applyFont="1" applyFill="1" applyBorder="1" applyAlignment="1">
      <x:alignment vertical="center" wrapText="1"/>
    </x:xf>
    <x:xf numFmtId="0" fontId="2" fillId="4" borderId="14" xfId="0" applyNumberFormat="1" applyFont="1" applyFill="1" applyBorder="1" applyAlignment="1">
      <x:alignment vertical="center" wrapText="1"/>
    </x:xf>
    <x:xf numFmtId="0" fontId="2" fillId="4" borderId="15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5" borderId="4" xfId="0" applyNumberFormat="1" applyFont="1" applyFill="1" applyBorder="1" applyAlignment="1">
      <x:alignment vertical="center"/>
    </x:xf>
    <x:xf numFmtId="0" fontId="1" fillId="5" borderId="5" xfId="0" applyNumberFormat="1" applyFont="1" applyFill="1" applyBorder="1" applyAlignment="1">
      <x:alignment vertical="center"/>
    </x:xf>
    <x:xf numFmtId="0" fontId="1" fillId="5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5" borderId="6" xfId="0" applyNumberFormat="1" applyFont="1" applyFill="1" applyBorder="1" applyAlignment="1">
      <x:alignment vertical="center"/>
    </x:xf>
    <x:xf numFmtId="0" fontId="1" fillId="5" borderId="10" xfId="0" applyNumberFormat="1" applyFont="1" applyFill="1" applyBorder="1" applyAlignment="1">
      <x:alignment vertical="center"/>
    </x:xf>
    <x:xf numFmtId="0" fontId="1" fillId="5" borderId="11" xfId="0" applyNumberFormat="1" applyFont="1" applyFill="1" applyBorder="1" applyAlignment="1">
      <x:alignment vertical="center"/>
    </x:xf>
    <x:xf numFmtId="0" fontId="1" fillId="5" borderId="1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5" borderId="12" xfId="0" applyNumberFormat="1" applyFont="1" applyFill="1" applyBorder="1" applyAlignment="1">
      <x:alignment vertical="center"/>
    </x:xf>
    <x:xf numFmtId="0" fontId="1" fillId="5" borderId="4" xfId="0" applyNumberFormat="1" applyFont="1" applyFill="1" applyBorder="1" applyAlignment="1">
      <x:alignment vertical="center" wrapText="1"/>
    </x:xf>
    <x:xf numFmtId="0" fontId="1" fillId="5" borderId="5" xfId="0" applyNumberFormat="1" applyFont="1" applyFill="1" applyBorder="1" applyAlignment="1">
      <x:alignment vertical="center" wrapText="1"/>
    </x:xf>
    <x:xf numFmtId="0" fontId="1" fillId="5" borderId="5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5" borderId="6" xfId="0" applyNumberFormat="1" applyFont="1" applyFill="1" applyBorder="1" applyAlignment="1">
      <x:alignment vertical="center" wrapText="1"/>
    </x:xf>
    <x:xf numFmtId="0" fontId="1" fillId="5" borderId="10" xfId="0" applyNumberFormat="1" applyFont="1" applyFill="1" applyBorder="1" applyAlignment="1">
      <x:alignment vertical="center" wrapText="1"/>
    </x:xf>
    <x:xf numFmtId="0" fontId="1" fillId="5" borderId="11" xfId="0" applyNumberFormat="1" applyFont="1" applyFill="1" applyBorder="1" applyAlignment="1">
      <x:alignment vertical="center" wrapText="1"/>
    </x:xf>
    <x:xf numFmtId="0" fontId="1" fillId="5" borderId="1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5" borderId="12" xfId="0" applyNumberFormat="1" applyFont="1" applyFill="1" applyBorder="1" applyAlignment="1">
      <x:alignment vertical="center" wrapText="1"/>
    </x:xf>
    <x:xf numFmtId="0" fontId="1" fillId="5" borderId="4" xfId="0" applyNumberFormat="1" applyFont="1" applyFill="1" applyBorder="1" applyAlignment="1">
      <x:alignment vertical="top" wrapText="1"/>
    </x:xf>
    <x:xf numFmtId="0" fontId="1" fillId="5" borderId="5" xfId="0" applyNumberFormat="1" applyFont="1" applyFill="1" applyBorder="1" applyAlignment="1">
      <x:alignment vertical="top" wrapText="1"/>
    </x:xf>
    <x:xf numFmtId="0" fontId="1" fillId="5" borderId="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5" borderId="6" xfId="0" applyNumberFormat="1" applyFont="1" applyFill="1" applyBorder="1" applyAlignment="1">
      <x:alignment vertical="top" wrapText="1"/>
    </x:xf>
    <x:xf numFmtId="0" fontId="1" fillId="5" borderId="10" xfId="0" applyNumberFormat="1" applyFont="1" applyFill="1" applyBorder="1" applyAlignment="1">
      <x:alignment vertical="top" wrapText="1"/>
    </x:xf>
    <x:xf numFmtId="0" fontId="1" fillId="5" borderId="11" xfId="0" applyNumberFormat="1" applyFont="1" applyFill="1" applyBorder="1" applyAlignment="1">
      <x:alignment vertical="top" wrapText="1"/>
    </x:xf>
    <x:xf numFmtId="0" fontId="1" fillId="5" borderId="1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5" borderId="12" xfId="0" applyNumberFormat="1" applyFont="1" applyFill="1" applyBorder="1" applyAlignment="1">
      <x:alignment vertical="top" wrapText="1"/>
    </x:xf>
    <x:xf numFmtId="0" fontId="1" fillId="5" borderId="7" xfId="0" applyNumberFormat="1" applyFont="1" applyFill="1" applyBorder="1" applyAlignment="1">
      <x:alignment vertical="center"/>
    </x:xf>
    <x:xf numFmtId="0" fontId="1" fillId="5" borderId="8" xfId="0" applyNumberFormat="1" applyFont="1" applyFill="1" applyBorder="1" applyAlignment="1">
      <x:alignment vertical="center"/>
    </x:xf>
    <x:xf numFmtId="0" fontId="1" fillId="5" borderId="8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5" borderId="9" xfId="0" applyNumberFormat="1" applyFont="1" applyFill="1" applyBorder="1" applyAlignment="1">
      <x:alignment vertical="center"/>
    </x:xf>
    <x:xf numFmtId="0" fontId="1" fillId="5" borderId="7" xfId="0" applyNumberFormat="1" applyFont="1" applyFill="1" applyBorder="1" applyAlignment="1">
      <x:alignment vertical="center" wrapText="1"/>
    </x:xf>
    <x:xf numFmtId="0" fontId="1" fillId="5" borderId="8" xfId="0" applyNumberFormat="1" applyFont="1" applyFill="1" applyBorder="1" applyAlignment="1">
      <x:alignment vertical="center" wrapText="1"/>
    </x:xf>
    <x:xf numFmtId="0" fontId="1" fillId="5" borderId="8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5" borderId="9" xfId="0" applyNumberFormat="1" applyFont="1" applyFill="1" applyBorder="1" applyAlignment="1">
      <x:alignment vertical="center" wrapText="1"/>
    </x:xf>
    <x:xf numFmtId="0" fontId="1" fillId="5" borderId="7" xfId="0" applyNumberFormat="1" applyFont="1" applyFill="1" applyBorder="1" applyAlignment="1">
      <x:alignment vertical="top" wrapText="1"/>
    </x:xf>
    <x:xf numFmtId="0" fontId="1" fillId="5" borderId="8" xfId="0" applyNumberFormat="1" applyFont="1" applyFill="1" applyBorder="1" applyAlignment="1">
      <x:alignment vertical="top" wrapText="1"/>
    </x:xf>
    <x:xf numFmtId="0" fontId="1" fillId="5" borderId="8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5" borderId="9" xfId="0" applyNumberFormat="1" applyFont="1" applyFill="1" applyBorder="1" applyAlignment="1">
      <x:alignment vertical="top" wrapText="1"/>
    </x:xf>
    <x:xf numFmtId="0" fontId="1" fillId="3" borderId="6" xfId="0" applyNumberFormat="1" applyFont="1" applyFill="1" applyBorder="1" applyAlignment="1">
      <x:alignment vertical="center"/>
    </x:xf>
    <x:xf numFmtId="0" fontId="1" fillId="3" borderId="9" xfId="0" applyNumberFormat="1" applyFont="1" applyFill="1" applyBorder="1" applyAlignment="1">
      <x:alignment vertical="center"/>
    </x:xf>
    <x:xf numFmtId="0" fontId="1" fillId="3" borderId="12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 wrapText="1"/>
    </x:xf>
    <x:xf numFmtId="0" fontId="1" fillId="3" borderId="9" xfId="0" applyNumberFormat="1" applyFont="1" applyFill="1" applyBorder="1" applyAlignment="1">
      <x:alignment vertical="center" wrapText="1"/>
    </x:xf>
    <x:xf numFmtId="0" fontId="1" fillId="3" borderId="12" xfId="0" applyNumberFormat="1" applyFont="1" applyFill="1" applyBorder="1" applyAlignment="1">
      <x:alignment vertical="center" wrapText="1"/>
    </x:xf>
    <x:xf numFmtId="0" fontId="1" fillId="3" borderId="6" xfId="0" applyNumberFormat="1" applyFont="1" applyFill="1" applyBorder="1" applyAlignment="1">
      <x:alignment vertical="top" wrapText="1"/>
    </x:xf>
    <x:xf numFmtId="0" fontId="1" fillId="3" borderId="9" xfId="0" applyNumberFormat="1" applyFont="1" applyFill="1" applyBorder="1" applyAlignment="1">
      <x:alignment vertical="top" wrapText="1"/>
    </x:xf>
    <x:xf numFmtId="0" fontId="1" fillId="3" borderId="12" xfId="0" applyNumberFormat="1" applyFont="1" applyFill="1" applyBorder="1" applyAlignment="1">
      <x:alignment vertical="top" wrapText="1"/>
    </x:xf>
    <x:xf numFmtId="0" fontId="1" fillId="3" borderId="16" xfId="0" applyNumberFormat="1" applyFont="1" applyFill="1" applyBorder="1" applyAlignment="1">
      <x:alignment vertical="center"/>
    </x:xf>
    <x:xf numFmtId="0" fontId="1" fillId="3" borderId="17" xfId="0" applyNumberFormat="1" applyFont="1" applyFill="1" applyBorder="1" applyAlignment="1">
      <x:alignment vertical="center"/>
    </x:xf>
    <x:xf numFmtId="0" fontId="1" fillId="3" borderId="18" xfId="0" applyNumberFormat="1" applyFont="1" applyFill="1" applyBorder="1" applyAlignment="1">
      <x:alignment vertical="center"/>
    </x:xf>
    <x:xf numFmtId="0" fontId="1" fillId="3" borderId="16" xfId="0" applyNumberFormat="1" applyFont="1" applyFill="1" applyBorder="1" applyAlignment="1">
      <x:alignment vertical="center" wrapText="1"/>
    </x:xf>
    <x:xf numFmtId="0" fontId="1" fillId="3" borderId="17" xfId="0" applyNumberFormat="1" applyFont="1" applyFill="1" applyBorder="1" applyAlignment="1">
      <x:alignment vertical="center" wrapText="1"/>
    </x:xf>
    <x:xf numFmtId="0" fontId="1" fillId="3" borderId="18" xfId="0" applyNumberFormat="1" applyFont="1" applyFill="1" applyBorder="1" applyAlignment="1">
      <x:alignment vertical="center" wrapText="1"/>
    </x:xf>
    <x:xf numFmtId="0" fontId="1" fillId="3" borderId="16" xfId="0" applyNumberFormat="1" applyFont="1" applyFill="1" applyBorder="1" applyAlignment="1">
      <x:alignment vertical="top" wrapText="1"/>
    </x:xf>
    <x:xf numFmtId="0" fontId="1" fillId="3" borderId="17" xfId="0" applyNumberFormat="1" applyFont="1" applyFill="1" applyBorder="1" applyAlignment="1">
      <x:alignment vertical="top" wrapText="1"/>
    </x:xf>
    <x:xf numFmtId="0" fontId="1" fillId="3" borderId="18" xfId="0" applyNumberFormat="1" applyFont="1" applyFill="1" applyBorder="1" applyAlignment="1">
      <x:alignment vertical="top" wrapText="1"/>
    </x:xf>
    <x:xf numFmtId="0" fontId="1" fillId="3" borderId="17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7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7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3" borderId="5" xfId="0" applyNumberFormat="1" applyFont="1" applyFill="1" applyBorder="1" applyAlignment="1">
      <x:alignment vertical="center"/>
    </x:xf>
    <x:xf numFmtId="200" fontId="1" fillId="3" borderId="8" xfId="0" applyNumberFormat="1" applyFont="1" applyFill="1" applyBorder="1" applyAlignment="1">
      <x:alignment vertical="center"/>
    </x:xf>
    <x:xf numFmtId="200" fontId="1" fillId="3" borderId="11" xfId="0" applyNumberFormat="1" applyFont="1" applyFill="1" applyBorder="1" applyAlignment="1">
      <x:alignment vertical="center"/>
    </x:xf>
    <x:xf numFmtId="200" fontId="1" fillId="3" borderId="5" xfId="0" applyNumberFormat="1" applyFont="1" applyFill="1" applyBorder="1" applyAlignment="1">
      <x:alignment vertical="center" wrapText="1"/>
    </x:xf>
    <x:xf numFmtId="200" fontId="1" fillId="3" borderId="8" xfId="0" applyNumberFormat="1" applyFont="1" applyFill="1" applyBorder="1" applyAlignment="1">
      <x:alignment vertical="center" wrapText="1"/>
    </x:xf>
    <x:xf numFmtId="200" fontId="1" fillId="3" borderId="11" xfId="0" applyNumberFormat="1" applyFont="1" applyFill="1" applyBorder="1" applyAlignment="1">
      <x:alignment vertical="center" wrapText="1"/>
    </x:xf>
    <x:xf numFmtId="200" fontId="1" fillId="3" borderId="5" xfId="0" applyNumberFormat="1" applyFont="1" applyFill="1" applyBorder="1" applyAlignment="1">
      <x:alignment vertical="top" wrapText="1"/>
    </x:xf>
    <x:xf numFmtId="200" fontId="1" fillId="3" borderId="8" xfId="0" applyNumberFormat="1" applyFont="1" applyFill="1" applyBorder="1" applyAlignment="1">
      <x:alignment vertical="top" wrapText="1"/>
    </x:xf>
    <x:xf numFmtId="200" fontId="1" fillId="3" borderId="1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3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19" xfId="0" applyNumberFormat="1" applyFont="1" applyFill="1" applyBorder="1"/>
    <x:xf numFmtId="0" fontId="6" fillId="8" borderId="20" xfId="0" applyNumberFormat="1" applyFont="1" applyFill="1" applyBorder="1"/>
    <x:xf numFmtId="0" fontId="6" fillId="8" borderId="21" xfId="0" applyNumberFormat="1" applyFont="1" applyFill="1" applyBorder="1"/>
    <x:xf numFmtId="0" fontId="3" fillId="9" borderId="0" xfId="0" applyNumberFormat="1" applyFont="1" applyFill="1" applyBorder="1"/>
    <x:xf numFmtId="0" fontId="3" fillId="9" borderId="22" xfId="0" applyNumberFormat="1" applyFont="1" applyFill="1" applyBorder="1"/>
    <x:xf numFmtId="0" fontId="3" fillId="9" borderId="23" xfId="0" applyNumberFormat="1" applyFont="1" applyFill="1" applyBorder="1"/>
    <x:xf numFmtId="0" fontId="3" fillId="9" borderId="24" xfId="0" applyNumberFormat="1" applyFont="1" applyFill="1" applyBorder="1"/>
    <x:xf numFmtId="0" fontId="3" fillId="9" borderId="25" xfId="0" applyNumberFormat="1" applyFont="1" applyFill="1" applyBorder="1"/>
    <x:xf numFmtId="0" fontId="3" fillId="9" borderId="22" xfId="0" applyNumberFormat="1" applyFont="1" applyFill="1" applyBorder="1" applyAlignment="1">
      <x:alignment horizontal="center"/>
    </x:xf>
    <x:xf numFmtId="0" fontId="3" fillId="9" borderId="23" xfId="0" applyNumberFormat="1" applyFont="1" applyFill="1" applyBorder="1" applyAlignment="1">
      <x:alignment horizontal="center"/>
    </x:xf>
    <x:xf numFmtId="0" fontId="3" fillId="9" borderId="24" xfId="0" applyNumberFormat="1" applyFont="1" applyFill="1" applyBorder="1" applyAlignment="1">
      <x:alignment horizontal="center"/>
    </x:xf>
    <x:xf numFmtId="0" fontId="3" fillId="9" borderId="25" xfId="0" applyNumberFormat="1" applyFont="1" applyFill="1" applyBorder="1" applyAlignment="1">
      <x:alignment horizontal="center"/>
    </x:xf>
    <x:xf numFmtId="0" fontId="3" fillId="9" borderId="22" xfId="0" applyNumberFormat="1" applyFont="1" applyFill="1" applyBorder="1" applyAlignment="1">
      <x:alignment horizontal="center" vertical="center"/>
    </x:xf>
    <x:xf numFmtId="0" fontId="3" fillId="9" borderId="23" xfId="0" applyNumberFormat="1" applyFont="1" applyFill="1" applyBorder="1" applyAlignment="1">
      <x:alignment horizontal="center" vertical="center"/>
    </x:xf>
    <x:xf numFmtId="0" fontId="3" fillId="9" borderId="24" xfId="0" applyNumberFormat="1" applyFont="1" applyFill="1" applyBorder="1" applyAlignment="1">
      <x:alignment horizontal="center" vertical="center"/>
    </x:xf>
    <x:xf numFmtId="0" fontId="3" fillId="9" borderId="25" xfId="0" applyNumberFormat="1" applyFont="1" applyFill="1" applyBorder="1" applyAlignment="1">
      <x:alignment horizontal="center" vertical="center"/>
    </x:xf>
    <x:xf numFmtId="0" fontId="7" fillId="9" borderId="22" xfId="0" applyNumberFormat="1" applyFont="1" applyFill="1" applyBorder="1" applyAlignment="1">
      <x:alignment horizontal="center" vertical="center"/>
    </x:xf>
    <x:xf numFmtId="0" fontId="7" fillId="9" borderId="23" xfId="0" applyNumberFormat="1" applyFont="1" applyFill="1" applyBorder="1" applyAlignment="1">
      <x:alignment horizontal="center" vertical="center"/>
    </x:xf>
    <x:xf numFmtId="0" fontId="8" fillId="9" borderId="24" xfId="0" applyNumberFormat="1" applyFont="1" applyFill="1" applyBorder="1" applyAlignment="1">
      <x:alignment horizontal="center" vertical="center"/>
    </x:xf>
    <x:xf numFmtId="0" fontId="8" fillId="9" borderId="25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9" fillId="2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4" xfId="0" applyNumberFormat="1" applyFont="1" applyFill="1" applyBorder="1"/>
    <x:xf numFmtId="0" fontId="3" fillId="3" borderId="6" xfId="0" applyNumberFormat="1" applyFont="1" applyFill="1" applyBorder="1"/>
    <x:xf numFmtId="0" fontId="3" fillId="3" borderId="7" xfId="0" applyNumberFormat="1" applyFont="1" applyFill="1" applyBorder="1"/>
    <x:xf numFmtId="0" fontId="3" fillId="3" borderId="9" xfId="0" applyNumberFormat="1" applyFont="1" applyFill="1" applyBorder="1"/>
    <x:xf numFmtId="0" fontId="3" fillId="3" borderId="10" xfId="0" applyNumberFormat="1" applyFont="1" applyFill="1" applyBorder="1"/>
    <x:xf numFmtId="0" fontId="3" fillId="3" borderId="12" xfId="0" applyNumberFormat="1" applyFont="1" applyFill="1" applyBorder="1"/>
    <x:xf numFmtId="0" fontId="3" fillId="3" borderId="4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3" fillId="3" borderId="7" xfId="0" applyNumberFormat="1" applyFont="1" applyFill="1" applyBorder="1" applyAlignment="1">
      <x:alignment wrapText="1"/>
    </x:xf>
    <x:xf numFmtId="0" fontId="3" fillId="3" borderId="9" xfId="0" applyNumberFormat="1" applyFont="1" applyFill="1" applyBorder="1" applyAlignment="1">
      <x:alignment wrapText="1"/>
    </x:xf>
    <x:xf numFmtId="0" fontId="3" fillId="3" borderId="10" xfId="0" applyNumberFormat="1" applyFont="1" applyFill="1" applyBorder="1" applyAlignment="1">
      <x:alignment wrapText="1"/>
    </x:xf>
    <x:xf numFmtId="0" fontId="3" fillId="3" borderId="12" xfId="0" applyNumberFormat="1" applyFont="1" applyFill="1" applyBorder="1" applyAlignment="1">
      <x:alignment wrapText="1"/>
    </x:xf>
    <x:xf numFmtId="0" fontId="3" fillId="3" borderId="4" xfId="0" applyNumberFormat="1" applyFont="1" applyFill="1" applyBorder="1" applyAlignment="1">
      <x:alignment vertical="top" wrapText="1"/>
    </x:xf>
    <x:xf numFmtId="0" fontId="3" fillId="3" borderId="6" xfId="0" applyNumberFormat="1" applyFont="1" applyFill="1" applyBorder="1" applyAlignment="1">
      <x:alignment vertical="top" wrapText="1"/>
    </x:xf>
    <x:xf numFmtId="0" fontId="3" fillId="3" borderId="7" xfId="0" applyNumberFormat="1" applyFont="1" applyFill="1" applyBorder="1" applyAlignment="1">
      <x:alignment vertical="top" wrapText="1"/>
    </x:xf>
    <x:xf numFmtId="0" fontId="3" fillId="3" borderId="9" xfId="0" applyNumberFormat="1" applyFont="1" applyFill="1" applyBorder="1" applyAlignment="1">
      <x:alignment vertical="top" wrapText="1"/>
    </x:xf>
    <x:xf numFmtId="0" fontId="3" fillId="3" borderId="10" xfId="0" applyNumberFormat="1" applyFont="1" applyFill="1" applyBorder="1" applyAlignment="1">
      <x:alignment vertical="top" wrapText="1"/>
    </x:xf>
    <x:xf numFmtId="0" fontId="3" fillId="3" borderId="12" xfId="0" applyNumberFormat="1" applyFont="1" applyFill="1" applyBorder="1" applyAlignment="1">
      <x:alignment vertical="top" wrapText="1"/>
    </x:xf>
    <x:xf numFmtId="0" fontId="3" fillId="7" borderId="4" xfId="0" applyNumberFormat="1" applyFont="1" applyFill="1" applyBorder="1" applyAlignment="1">
      <x:alignment vertical="top" wrapText="1"/>
    </x:xf>
    <x:xf numFmtId="0" fontId="3" fillId="7" borderId="7" xfId="0" applyNumberFormat="1" applyFont="1" applyFill="1" applyBorder="1" applyAlignment="1">
      <x:alignment vertical="top" wrapText="1"/>
    </x:xf>
    <x:xf numFmtId="0" fontId="3" fillId="7" borderId="10" xfId="0" applyNumberFormat="1" applyFont="1" applyFill="1" applyBorder="1" applyAlignment="1">
      <x:alignment vertical="top" wrapText="1"/>
    </x:xf>
    <x:xf numFmtId="0" fontId="7" fillId="7" borderId="4" xfId="0" applyNumberFormat="1" applyFont="1" applyFill="1" applyBorder="1" applyAlignment="1">
      <x:alignment vertical="top" wrapText="1"/>
    </x:xf>
    <x:xf numFmtId="0" fontId="7" fillId="7" borderId="7" xfId="0" applyNumberFormat="1" applyFont="1" applyFill="1" applyBorder="1" applyAlignment="1">
      <x:alignment vertical="top" wrapText="1"/>
    </x:xf>
    <x:xf numFmtId="0" fontId="7" fillId="7" borderId="10" xfId="0" applyNumberFormat="1" applyFont="1" applyFill="1" applyBorder="1" applyAlignment="1">
      <x:alignment vertical="top" wrapText="1"/>
    </x:xf>
    <x:xf numFmtId="0" fontId="7" fillId="7" borderId="4" xfId="0" applyNumberFormat="1" applyFont="1" applyFill="1" applyBorder="1" applyAlignment="1">
      <x:alignment horizontal="center" vertical="top" wrapText="1"/>
    </x:xf>
    <x:xf numFmtId="0" fontId="7" fillId="7" borderId="7" xfId="0" applyNumberFormat="1" applyFont="1" applyFill="1" applyBorder="1" applyAlignment="1">
      <x:alignment horizontal="center" vertical="top" wrapText="1"/>
    </x:xf>
    <x:xf numFmtId="0" fontId="7" fillId="7" borderId="1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/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horizontal="center"/>
    </x:xf>
    <x:xf numFmtId="0" fontId="3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26" xfId="0" applyNumberFormat="1" applyFont="1" applyFill="1" applyBorder="1"/>
    <x:xf numFmtId="0" fontId="10" fillId="10" borderId="27" xfId="0" applyNumberFormat="1" applyFont="1" applyFill="1" applyBorder="1"/>
    <x:xf numFmtId="0" fontId="10" fillId="10" borderId="28" xfId="0" applyNumberFormat="1" applyFont="1" applyFill="1" applyBorder="1"/>
    <x:xf numFmtId="0" fontId="10" fillId="10" borderId="29" xfId="0" applyNumberFormat="1" applyFont="1" applyFill="1" applyBorder="1"/>
    <x:xf numFmtId="0" fontId="10" fillId="10" borderId="30" xfId="0" applyNumberFormat="1" applyFont="1" applyFill="1" applyBorder="1"/>
    <x:xf numFmtId="0" fontId="10" fillId="10" borderId="31" xfId="0" applyNumberFormat="1" applyFont="1" applyFill="1" applyBorder="1"/>
    <x:xf numFmtId="0" fontId="10" fillId="10" borderId="32" xfId="0" applyNumberFormat="1" applyFont="1" applyFill="1" applyBorder="1"/>
    <x:xf numFmtId="0" fontId="10" fillId="10" borderId="33" xfId="0" applyNumberFormat="1" applyFont="1" applyFill="1" applyBorder="1"/>
    <x:xf numFmtId="0" fontId="10" fillId="10" borderId="26" xfId="0" applyNumberFormat="1" applyFont="1" applyFill="1" applyBorder="1" applyAlignment="1">
      <x:alignment wrapText="1"/>
    </x:xf>
    <x:xf numFmtId="0" fontId="10" fillId="10" borderId="27" xfId="0" applyNumberFormat="1" applyFont="1" applyFill="1" applyBorder="1" applyAlignment="1">
      <x:alignment wrapText="1"/>
    </x:xf>
    <x:xf numFmtId="0" fontId="10" fillId="10" borderId="28" xfId="0" applyNumberFormat="1" applyFont="1" applyFill="1" applyBorder="1" applyAlignment="1">
      <x:alignment wrapText="1"/>
    </x:xf>
    <x:xf numFmtId="0" fontId="10" fillId="10" borderId="29" xfId="0" applyNumberFormat="1" applyFont="1" applyFill="1" applyBorder="1" applyAlignment="1">
      <x:alignment wrapText="1"/>
    </x:xf>
    <x:xf numFmtId="0" fontId="10" fillId="10" borderId="0" xfId="0" applyNumberFormat="1" applyFont="1" applyFill="1" applyBorder="1" applyAlignment="1">
      <x:alignment wrapText="1"/>
    </x:xf>
    <x:xf numFmtId="0" fontId="10" fillId="10" borderId="30" xfId="0" applyNumberFormat="1" applyFont="1" applyFill="1" applyBorder="1" applyAlignment="1">
      <x:alignment wrapText="1"/>
    </x:xf>
    <x:xf numFmtId="0" fontId="10" fillId="10" borderId="31" xfId="0" applyNumberFormat="1" applyFont="1" applyFill="1" applyBorder="1" applyAlignment="1">
      <x:alignment wrapText="1"/>
    </x:xf>
    <x:xf numFmtId="0" fontId="10" fillId="10" borderId="32" xfId="0" applyNumberFormat="1" applyFont="1" applyFill="1" applyBorder="1" applyAlignment="1">
      <x:alignment wrapText="1"/>
    </x:xf>
    <x:xf numFmtId="0" fontId="10" fillId="10" borderId="33" xfId="0" applyNumberFormat="1" applyFont="1" applyFill="1" applyBorder="1" applyAlignment="1">
      <x:alignment wrapText="1"/>
    </x:xf>
    <x:xf numFmtId="0" fontId="10" fillId="10" borderId="26" xfId="0" applyNumberFormat="1" applyFont="1" applyFill="1" applyBorder="1" applyAlignment="1">
      <x:alignment horizontal="center" wrapText="1"/>
    </x:xf>
    <x:xf numFmtId="0" fontId="10" fillId="10" borderId="27" xfId="0" applyNumberFormat="1" applyFont="1" applyFill="1" applyBorder="1" applyAlignment="1">
      <x:alignment horizontal="center" wrapText="1"/>
    </x:xf>
    <x:xf numFmtId="0" fontId="10" fillId="10" borderId="28" xfId="0" applyNumberFormat="1" applyFont="1" applyFill="1" applyBorder="1" applyAlignment="1">
      <x:alignment horizontal="center" wrapText="1"/>
    </x:xf>
    <x:xf numFmtId="0" fontId="10" fillId="10" borderId="29" xfId="0" applyNumberFormat="1" applyFont="1" applyFill="1" applyBorder="1" applyAlignment="1">
      <x:alignment horizontal="center" wrapText="1"/>
    </x:xf>
    <x:xf numFmtId="0" fontId="10" fillId="10" borderId="0" xfId="0" applyNumberFormat="1" applyFont="1" applyFill="1" applyBorder="1" applyAlignment="1">
      <x:alignment horizontal="center" wrapText="1"/>
    </x:xf>
    <x:xf numFmtId="0" fontId="10" fillId="10" borderId="30" xfId="0" applyNumberFormat="1" applyFont="1" applyFill="1" applyBorder="1" applyAlignment="1">
      <x:alignment horizontal="center" wrapText="1"/>
    </x:xf>
    <x:xf numFmtId="0" fontId="10" fillId="10" borderId="31" xfId="0" applyNumberFormat="1" applyFont="1" applyFill="1" applyBorder="1" applyAlignment="1">
      <x:alignment horizontal="center" wrapText="1"/>
    </x:xf>
    <x:xf numFmtId="0" fontId="10" fillId="10" borderId="32" xfId="0" applyNumberFormat="1" applyFont="1" applyFill="1" applyBorder="1" applyAlignment="1">
      <x:alignment horizontal="center" wrapText="1"/>
    </x:xf>
    <x:xf numFmtId="0" fontId="10" fillId="10" borderId="33" xfId="0" applyNumberFormat="1" applyFont="1" applyFill="1" applyBorder="1" applyAlignment="1">
      <x:alignment horizontal="center" wrapText="1"/>
    </x:xf>
    <x:xf numFmtId="0" fontId="10" fillId="10" borderId="26" xfId="0" applyNumberFormat="1" applyFont="1" applyFill="1" applyBorder="1" applyAlignment="1">
      <x:alignment horizontal="center" vertical="center" wrapText="1"/>
    </x:xf>
    <x:xf numFmtId="0" fontId="10" fillId="10" borderId="27" xfId="0" applyNumberFormat="1" applyFont="1" applyFill="1" applyBorder="1" applyAlignment="1">
      <x:alignment horizontal="center" vertical="center" wrapText="1"/>
    </x:xf>
    <x:xf numFmtId="0" fontId="10" fillId="10" borderId="28" xfId="0" applyNumberFormat="1" applyFont="1" applyFill="1" applyBorder="1" applyAlignment="1">
      <x:alignment horizontal="center" vertical="center" wrapText="1"/>
    </x:xf>
    <x:xf numFmtId="0" fontId="10" fillId="10" borderId="29" xfId="0" applyNumberFormat="1" applyFont="1" applyFill="1" applyBorder="1" applyAlignment="1">
      <x:alignment horizontal="center" vertical="center" wrapText="1"/>
    </x:xf>
    <x:xf numFmtId="0" fontId="10" fillId="10" borderId="0" xfId="0" applyNumberFormat="1" applyFont="1" applyFill="1" applyBorder="1" applyAlignment="1">
      <x:alignment horizontal="center" vertical="center" wrapText="1"/>
    </x:xf>
    <x:xf numFmtId="0" fontId="10" fillId="10" borderId="30" xfId="0" applyNumberFormat="1" applyFont="1" applyFill="1" applyBorder="1" applyAlignment="1">
      <x:alignment horizontal="center" vertical="center" wrapText="1"/>
    </x:xf>
    <x:xf numFmtId="0" fontId="10" fillId="10" borderId="31" xfId="0" applyNumberFormat="1" applyFont="1" applyFill="1" applyBorder="1" applyAlignment="1">
      <x:alignment horizontal="center" vertical="center" wrapText="1"/>
    </x:xf>
    <x:xf numFmtId="0" fontId="10" fillId="10" borderId="32" xfId="0" applyNumberFormat="1" applyFont="1" applyFill="1" applyBorder="1" applyAlignment="1">
      <x:alignment horizontal="center" vertical="center" wrapText="1"/>
    </x:xf>
    <x:xf numFmtId="0" fontId="10" fillId="10" borderId="33" xfId="0" applyNumberFormat="1" applyFont="1" applyFill="1" applyBorder="1" applyAlignment="1">
      <x:alignment horizontal="center" vertical="center" wrapText="1"/>
    </x:xf>
    <x:xf numFmtId="0" fontId="3" fillId="11" borderId="0" xfId="0" applyNumberFormat="1" applyFont="1" applyFill="1" applyBorder="1"/>
    <x:xf numFmtId="0" fontId="6" fillId="11" borderId="0" xfId="0" applyNumberFormat="1" applyFont="1" applyFill="1" applyBorder="1"/>
    <x:xf numFmtId="0" fontId="6" fillId="11" borderId="0" xfId="0" applyNumberFormat="1" applyFont="1" applyFill="1" applyBorder="1" applyAlignment="1">
      <x:alignment horizontal="center"/>
    </x:xf>
    <x:xf numFmtId="0" fontId="3" fillId="8" borderId="34" xfId="0" applyNumberFormat="1" applyFont="1" applyFill="1" applyBorder="1"/>
    <x:xf numFmtId="0" fontId="3" fillId="8" borderId="35" xfId="0" applyNumberFormat="1" applyFont="1" applyFill="1" applyBorder="1"/>
    <x:xf numFmtId="0" fontId="3" fillId="8" borderId="21" xfId="0" applyNumberFormat="1" applyFont="1" applyFill="1" applyBorder="1"/>
    <x:xf numFmtId="0" fontId="3" fillId="8" borderId="19" xfId="0" applyNumberFormat="1" applyFont="1" applyFill="1" applyBorder="1"/>
    <x:xf numFmtId="0" fontId="3" fillId="8" borderId="36" xfId="0" applyNumberFormat="1" applyFont="1" applyFill="1" applyBorder="1"/>
    <x:xf numFmtId="0" fontId="3" fillId="8" borderId="37" xfId="0" applyNumberFormat="1" applyFont="1" applyFill="1" applyBorder="1"/>
    <x:xf numFmtId="0" fontId="3" fillId="8" borderId="34" xfId="0" applyNumberFormat="1" applyFont="1" applyFill="1" applyBorder="1" applyAlignment="1">
      <x:alignment wrapText="1"/>
    </x:xf>
    <x:xf numFmtId="0" fontId="3" fillId="8" borderId="35" xfId="0" applyNumberFormat="1" applyFont="1" applyFill="1" applyBorder="1" applyAlignment="1">
      <x:alignment wrapText="1"/>
    </x:xf>
    <x:xf numFmtId="0" fontId="3" fillId="8" borderId="21" xfId="0" applyNumberFormat="1" applyFont="1" applyFill="1" applyBorder="1" applyAlignment="1">
      <x:alignment wrapText="1"/>
    </x:xf>
    <x:xf numFmtId="0" fontId="3" fillId="8" borderId="19" xfId="0" applyNumberFormat="1" applyFont="1" applyFill="1" applyBorder="1" applyAlignment="1">
      <x:alignment wrapText="1"/>
    </x:xf>
    <x:xf numFmtId="0" fontId="3" fillId="8" borderId="36" xfId="0" applyNumberFormat="1" applyFont="1" applyFill="1" applyBorder="1" applyAlignment="1">
      <x:alignment wrapText="1"/>
    </x:xf>
    <x:xf numFmtId="0" fontId="3" fillId="8" borderId="37" xfId="0" applyNumberFormat="1" applyFont="1" applyFill="1" applyBorder="1" applyAlignment="1">
      <x:alignment wrapText="1"/>
    </x:xf>
    <x:xf numFmtId="0" fontId="11" fillId="8" borderId="34" xfId="0" applyNumberFormat="1" applyFont="1" applyFill="1" applyBorder="1" applyAlignment="1">
      <x:alignment wrapText="1"/>
    </x:xf>
    <x:xf numFmtId="0" fontId="11" fillId="8" borderId="21" xfId="0" applyNumberFormat="1" applyFont="1" applyFill="1" applyBorder="1" applyAlignment="1">
      <x:alignment wrapText="1"/>
    </x:xf>
    <x:xf numFmtId="0" fontId="11" fillId="8" borderId="36" xfId="0" applyNumberFormat="1" applyFont="1" applyFill="1" applyBorder="1" applyAlignment="1">
      <x:alignment wrapText="1"/>
    </x:xf>
    <x:xf numFmtId="0" fontId="11" fillId="8" borderId="34" xfId="0" applyNumberFormat="1" applyFont="1" applyFill="1" applyBorder="1" applyAlignment="1">
      <x:alignment horizontal="center" wrapText="1"/>
    </x:xf>
    <x:xf numFmtId="0" fontId="11" fillId="8" borderId="21" xfId="0" applyNumberFormat="1" applyFont="1" applyFill="1" applyBorder="1" applyAlignment="1">
      <x:alignment horizontal="center" wrapText="1"/>
    </x:xf>
    <x:xf numFmtId="0" fontId="11" fillId="8" borderId="36" xfId="0" applyNumberFormat="1" applyFont="1" applyFill="1" applyBorder="1" applyAlignment="1">
      <x:alignment horizontal="center" wrapText="1"/>
    </x:xf>
    <x:xf numFmtId="0" fontId="9" fillId="2" borderId="0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/>
    <x:xf numFmtId="0" fontId="3" fillId="3" borderId="8" xfId="0" applyNumberFormat="1" applyFont="1" applyFill="1" applyBorder="1"/>
    <x:xf numFmtId="0" fontId="3" fillId="3" borderId="11" xfId="0" applyNumberFormat="1" applyFont="1" applyFill="1" applyBorder="1"/>
    <x:xf numFmtId="0" fontId="3" fillId="3" borderId="5" xfId="0" applyNumberFormat="1" applyFont="1" applyFill="1" applyBorder="1" applyAlignment="1">
      <x:alignment wrapText="1"/>
    </x:xf>
    <x:xf numFmtId="0" fontId="3" fillId="3" borderId="8" xfId="0" applyNumberFormat="1" applyFont="1" applyFill="1" applyBorder="1" applyAlignment="1">
      <x:alignment wrapText="1"/>
    </x:xf>
    <x:xf numFmtId="0" fontId="3" fillId="3" borderId="11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vertical="top" wrapText="1"/>
    </x:xf>
    <x:xf numFmtId="0" fontId="3" fillId="3" borderId="8" xfId="0" applyNumberFormat="1" applyFont="1" applyFill="1" applyBorder="1" applyAlignment="1">
      <x:alignment vertical="top" wrapText="1"/>
    </x:xf>
    <x:xf numFmtId="0" fontId="3" fillId="3" borderId="11" xfId="0" applyNumberFormat="1" applyFont="1" applyFill="1" applyBorder="1" applyAlignment="1">
      <x:alignment vertical="top" wrapText="1"/>
    </x:xf>
    <x:xf numFmtId="0" fontId="11" fillId="7" borderId="4" xfId="0" applyNumberFormat="1" applyFont="1" applyFill="1" applyBorder="1" applyAlignment="1">
      <x:alignment vertical="top" wrapText="1"/>
    </x:xf>
    <x:xf numFmtId="0" fontId="11" fillId="7" borderId="7" xfId="0" applyNumberFormat="1" applyFont="1" applyFill="1" applyBorder="1" applyAlignment="1">
      <x:alignment vertical="top" wrapText="1"/>
    </x:xf>
    <x:xf numFmtId="0" fontId="11" fillId="7" borderId="10" xfId="0" applyNumberFormat="1" applyFont="1" applyFill="1" applyBorder="1" applyAlignment="1">
      <x:alignment vertical="top" wrapText="1"/>
    </x:xf>
    <x:xf numFmtId="0" fontId="11" fillId="7" borderId="4" xfId="0" applyNumberFormat="1" applyFont="1" applyFill="1" applyBorder="1" applyAlignment="1">
      <x:alignment horizontal="center" vertical="top" wrapText="1"/>
    </x:xf>
    <x:xf numFmtId="0" fontId="11" fillId="7" borderId="7" xfId="0" applyNumberFormat="1" applyFont="1" applyFill="1" applyBorder="1" applyAlignment="1">
      <x:alignment horizontal="center" vertical="top" wrapText="1"/>
    </x:xf>
    <x:xf numFmtId="0" fontId="11" fillId="7" borderId="10" xfId="0" applyNumberFormat="1" applyFont="1" applyFill="1" applyBorder="1" applyAlignment="1">
      <x:alignment horizontal="center" vertical="top" wrapText="1"/>
    </x:xf>
    <x:xf numFmtId="0" fontId="5" fillId="7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0" fontId="6" fillId="8" borderId="19" xfId="0" applyNumberFormat="1" applyFont="1" applyFill="1" applyBorder="1" applyAlignment="1">
      <x:alignment vertical="center"/>
    </x:xf>
    <x:xf numFmtId="0" fontId="6" fillId="8" borderId="20" xfId="0" applyNumberFormat="1" applyFont="1" applyFill="1" applyBorder="1" applyAlignment="1">
      <x:alignment vertical="center"/>
    </x:xf>
    <x:xf numFmtId="0" fontId="6" fillId="8" borderId="21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 applyAlignment="1">
      <x:alignment vertical="center"/>
    </x:xf>
    <x:xf numFmtId="0" fontId="7" fillId="7" borderId="4" xfId="0" applyNumberFormat="1" applyFont="1" applyFill="1" applyBorder="1" applyAlignment="1">
      <x:alignment horizontal="center" vertical="center" wrapText="1"/>
    </x:xf>
    <x:xf numFmtId="0" fontId="3" fillId="3" borderId="6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 applyAlignment="1">
      <x:alignment horizontal="center" vertical="center"/>
    </x:xf>
    <x:xf numFmtId="0" fontId="7" fillId="7" borderId="7" xfId="0" applyNumberFormat="1" applyFont="1" applyFill="1" applyBorder="1" applyAlignment="1">
      <x:alignment horizontal="center" vertical="center" wrapText="1"/>
    </x:xf>
    <x:xf numFmtId="0" fontId="3" fillId="3" borderId="9" xfId="0" applyNumberFormat="1" applyFont="1" applyFill="1" applyBorder="1" applyAlignment="1">
      <x:alignment vertical="center" wrapText="1"/>
    </x:xf>
    <x:xf numFmtId="0" fontId="6" fillId="11" borderId="0" xfId="0" applyNumberFormat="1" applyFont="1" applyFill="1" applyBorder="1" applyAlignment="1">
      <x:alignment horizontal="center" vertical="center"/>
    </x:xf>
    <x:xf numFmtId="0" fontId="11" fillId="8" borderId="34" xfId="0" applyNumberFormat="1" applyFont="1" applyFill="1" applyBorder="1" applyAlignment="1">
      <x:alignment horizontal="center" vertical="center" wrapText="1"/>
    </x:xf>
    <x:xf numFmtId="0" fontId="3" fillId="8" borderId="35" xfId="0" applyNumberFormat="1" applyFont="1" applyFill="1" applyBorder="1" applyAlignment="1">
      <x:alignment vertical="center" wrapText="1"/>
    </x:xf>
    <x:xf numFmtId="0" fontId="11" fillId="8" borderId="21" xfId="0" applyNumberFormat="1" applyFont="1" applyFill="1" applyBorder="1" applyAlignment="1">
      <x:alignment horizontal="center" vertical="center" wrapText="1"/>
    </x:xf>
    <x:xf numFmtId="0" fontId="3" fillId="8" borderId="19" xfId="0" applyNumberFormat="1" applyFont="1" applyFill="1" applyBorder="1" applyAlignment="1">
      <x:alignment vertical="center" wrapText="1"/>
    </x:xf>
    <x:xf numFmtId="0" fontId="7" fillId="7" borderId="10" xfId="0" applyNumberFormat="1" applyFont="1" applyFill="1" applyBorder="1" applyAlignment="1">
      <x:alignment horizontal="center" vertical="center" wrapText="1"/>
    </x:xf>
    <x:xf numFmtId="0" fontId="3" fillId="3" borderId="12" xfId="0" applyNumberFormat="1" applyFont="1" applyFill="1" applyBorder="1" applyAlignment="1">
      <x:alignment vertical="center" wrapText="1"/>
    </x:xf>
    <x:xf numFmtId="0" fontId="11" fillId="8" borderId="36" xfId="0" applyNumberFormat="1" applyFont="1" applyFill="1" applyBorder="1" applyAlignment="1">
      <x:alignment horizontal="center" vertical="center" wrapText="1"/>
    </x:xf>
    <x:xf numFmtId="0" fontId="3" fillId="8" borderId="37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 applyAlignment="1">
      <x:alignment horizontal="center" vertical="center"/>
    </x:xf>
    <x:xf numFmtId="0" fontId="11" fillId="7" borderId="4" xfId="0" applyNumberFormat="1" applyFont="1" applyFill="1" applyBorder="1" applyAlignment="1">
      <x:alignment horizontal="center" vertical="center" wrapText="1"/>
    </x:xf>
    <x:xf numFmtId="0" fontId="3" fillId="3" borderId="5" xfId="0" applyNumberFormat="1" applyFont="1" applyFill="1" applyBorder="1" applyAlignment="1">
      <x:alignment vertical="center" wrapText="1"/>
    </x:xf>
    <x:xf numFmtId="0" fontId="11" fillId="7" borderId="7" xfId="0" applyNumberFormat="1" applyFont="1" applyFill="1" applyBorder="1" applyAlignment="1">
      <x:alignment horizontal="center" vertical="center" wrapText="1"/>
    </x:xf>
    <x:xf numFmtId="0" fontId="3" fillId="3" borderId="8" xfId="0" applyNumberFormat="1" applyFont="1" applyFill="1" applyBorder="1" applyAlignment="1">
      <x:alignment vertical="center" wrapText="1"/>
    </x:xf>
    <x:xf numFmtId="0" fontId="11" fillId="7" borderId="10" xfId="0" applyNumberFormat="1" applyFont="1" applyFill="1" applyBorder="1" applyAlignment="1">
      <x:alignment horizontal="center" vertical="center" wrapText="1"/>
    </x:xf>
    <x:xf numFmtId="0" fontId="3" fillId="3" borderId="1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54">
    <x:dxf>
      <x:font>
        <x:color rgb="FFA22626"/>
      </x:font>
      <x:fill>
        <x:patternFill>
          <x:bgColor rgb="FFFCE3E3"/>
        </x:patternFill>
      </x:fill>
    </x:dxf>
    <x:dxf>
      <x:fill>
        <x:patternFill>
          <x:bgColor rgb="FFDFF3E5"/>
        </x:patternFill>
      </x:fill>
    </x:dxf>
    <x:dxf>
      <x:font>
        <x:color rgb="FFA22626"/>
      </x:font>
      <x:fill>
        <x:patternFill>
          <x:bgColor rgb="FFFCE3E3"/>
        </x:patternFill>
      </x:fill>
    </x:dxf>
    <x:dxf>
      <x:fill>
        <x:patternFill>
          <x:bgColor rgb="FFDFF3E5"/>
        </x:patternFill>
      </x:fill>
    </x:dxf>
    <x:dxf>
      <x:font>
        <x:color rgb="FFA22626"/>
      </x:font>
      <x:fill>
        <x:patternFill>
          <x:bgColor rgb="FFFCE3E3"/>
        </x:patternFill>
      </x:fill>
    </x:dxf>
    <x:dxf>
      <x:fill>
        <x:patternFill>
          <x:bgColor rgb="FFDFF3E5"/>
        </x:patternFill>
      </x:fill>
    </x:dxf>
    <x:dxf>
      <x:font>
        <x:color rgb="FFA22626"/>
      </x:font>
      <x:fill>
        <x:patternFill>
          <x:bgColor rgb="FFFCE3E3"/>
        </x:patternFill>
      </x:fill>
    </x:dxf>
    <x:dxf>
      <x:fill>
        <x:patternFill>
          <x:bgColor rgb="FFDFF3E5"/>
        </x:patternFill>
      </x:fill>
    </x:dxf>
    <x:dxf>
      <x:font>
        <x:color rgb="FFA22626"/>
      </x:font>
      <x:fill>
        <x:patternFill>
          <x:bgColor rgb="FFFCE3E3"/>
        </x:patternFill>
      </x:fill>
    </x:dxf>
    <x:dxf>
      <x:fill>
        <x:patternFill>
          <x:bgColor rgb="FFDFF3E5"/>
        </x:patternFill>
      </x:fill>
    </x:dxf>
    <x:dxf>
      <x:font>
        <x:color rgb="FFA22626"/>
      </x:font>
      <x:fill>
        <x:patternFill>
          <x:bgColor rgb="FFFCE3E3"/>
        </x:patternFill>
      </x:fill>
    </x:dxf>
    <x:dxf>
      <x:fill>
        <x:patternFill>
          <x:bgColor rgb="FFDFF3E5"/>
        </x:patternFill>
      </x:fill>
    </x:dxf>
    <x:dxf>
      <x:font>
        <x:color rgb="FFA22626"/>
      </x:font>
      <x:fill>
        <x:patternFill>
          <x:bgColor rgb="FFFCE3E3"/>
        </x:patternFill>
      </x:fill>
    </x:dxf>
    <x:dxf>
      <x:fill>
        <x:patternFill>
          <x:bgColor rgb="FFDFF3E5"/>
        </x:patternFill>
      </x:fill>
    </x:dxf>
    <x:dxf>
      <x:font>
        <x:color rgb="FFA22626"/>
      </x:font>
      <x:fill>
        <x:patternFill>
          <x:bgColor rgb="FFFCE3E3"/>
        </x:patternFill>
      </x:fill>
    </x:dxf>
    <x:dxf>
      <x:fill>
        <x:patternFill>
          <x:bgColor rgb="FFDFF3E5"/>
        </x:patternFill>
      </x:fill>
    </x:dxf>
    <x:dxf>
      <x:font>
        <x:color rgb="FFA22626"/>
      </x:font>
      <x:fill>
        <x:patternFill>
          <x:bgColor rgb="FFFCE3E3"/>
        </x:patternFill>
      </x:fill>
    </x:dxf>
    <x:dxf>
      <x:fill>
        <x:patternFill>
          <x:bgColor rgb="FFDFF3E5"/>
        </x:patternFill>
      </x:fill>
    </x:dxf>
    <x:dxf>
      <x:font>
        <x:color rgb="FFA22626"/>
      </x:font>
      <x:fill>
        <x:patternFill>
          <x:bgColor rgb="FFFCE3E3"/>
        </x:patternFill>
      </x:fill>
    </x:dxf>
    <x:dxf>
      <x:fill>
        <x:patternFill>
          <x:bgColor rgb="FFDFF3E5"/>
        </x:patternFill>
      </x:fill>
    </x:dxf>
    <x:dxf>
      <x:font>
        <x:color rgb="FFA22626"/>
      </x:font>
      <x:fill>
        <x:patternFill>
          <x:bgColor rgb="FFFCE3E3"/>
        </x:patternFill>
      </x:fill>
    </x:dxf>
    <x:dxf>
      <x:fill>
        <x:patternFill>
          <x:bgColor rgb="FFDFF3E5"/>
        </x:patternFill>
      </x:fill>
    </x:dxf>
    <x:dxf>
      <x:font>
        <x:color rgb="FFA22626"/>
      </x:font>
      <x:fill>
        <x:patternFill>
          <x:bgColor rgb="FFFCE3E3"/>
        </x:patternFill>
      </x:fill>
    </x:dxf>
    <x:dxf>
      <x:fill>
        <x:patternFill>
          <x:bgColor rgb="FFDFF3E5"/>
        </x:patternFill>
      </x:fill>
    </x:dxf>
    <x:dxf>
      <x:font>
        <x:color rgb="FFA22626"/>
      </x:font>
      <x:fill>
        <x:patternFill>
          <x:bgColor rgb="FFFCE3E3"/>
        </x:patternFill>
      </x:fill>
    </x:dxf>
    <x:dxf>
      <x:fill>
        <x:patternFill>
          <x:bgColor rgb="FFDFF3E5"/>
        </x:patternFill>
      </x:fill>
    </x:dxf>
    <x:dxf>
      <x:font>
        <x:color rgb="FFA22626"/>
      </x:font>
      <x:fill>
        <x:patternFill>
          <x:bgColor rgb="FFFCE3E3"/>
        </x:patternFill>
      </x:fill>
    </x:dxf>
    <x:dxf>
      <x:fill>
        <x:patternFill>
          <x:bgColor rgb="FFDFF3E5"/>
        </x:patternFill>
      </x:fill>
    </x:dxf>
    <x:dxf>
      <x:font>
        <x:color rgb="FFA22626"/>
      </x:font>
      <x:fill>
        <x:patternFill>
          <x:bgColor rgb="FFFCE3E3"/>
        </x:patternFill>
      </x:fill>
    </x:dxf>
    <x:dxf>
      <x:fill>
        <x:patternFill>
          <x:bgColor rgb="FFDFF3E5"/>
        </x:patternFill>
      </x:fill>
    </x:dxf>
    <x:dxf>
      <x:font>
        <x:color rgb="FFA22626"/>
      </x:font>
      <x:fill>
        <x:patternFill>
          <x:bgColor rgb="FFFCE3E3"/>
        </x:patternFill>
      </x:fill>
    </x:dxf>
    <x:dxf>
      <x:fill>
        <x:patternFill>
          <x:bgColor rgb="FFDFF3E5"/>
        </x:patternFill>
      </x:fill>
    </x:dxf>
    <x:dxf>
      <x:font>
        <x:color rgb="FFA22626"/>
      </x:font>
      <x:fill>
        <x:patternFill>
          <x:bgColor rgb="FFFCE3E3"/>
        </x:patternFill>
      </x:fill>
    </x:dxf>
    <x:dxf>
      <x:fill>
        <x:patternFill>
          <x:bgColor rgb="FFDFF3E5"/>
        </x:patternFill>
      </x:fill>
    </x:dxf>
    <x:dxf>
      <x:font>
        <x:color rgb="FFA22626"/>
      </x:font>
      <x:fill>
        <x:patternFill>
          <x:bgColor rgb="FFFCE3E3"/>
        </x:patternFill>
      </x:fill>
    </x:dxf>
    <x:dxf>
      <x:fill>
        <x:patternFill>
          <x:bgColor rgb="FFDFF3E5"/>
        </x:patternFill>
      </x:fill>
    </x:dxf>
    <x:dxf>
      <x:font>
        <x:color rgb="FFA22626"/>
      </x:font>
      <x:fill>
        <x:patternFill>
          <x:bgColor rgb="FFFCE3E3"/>
        </x:patternFill>
      </x:fill>
    </x:dxf>
    <x:dxf>
      <x:fill>
        <x:patternFill>
          <x:bgColor rgb="FFDFF3E5"/>
        </x:patternFill>
      </x:fill>
    </x:dxf>
    <x:dxf>
      <x:font>
        <x:color rgb="FFA22626"/>
      </x:font>
      <x:fill>
        <x:patternFill>
          <x:bgColor rgb="FFFCE3E3"/>
        </x:patternFill>
      </x:fill>
    </x:dxf>
    <x:dxf>
      <x:fill>
        <x:patternFill>
          <x:bgColor rgb="FFDFF3E5"/>
        </x:patternFill>
      </x:fill>
    </x:dxf>
    <x:dxf>
      <x:font>
        <x:color rgb="FFA22626"/>
      </x:font>
      <x:fill>
        <x:patternFill>
          <x:bgColor rgb="FFFCE3E3"/>
        </x:patternFill>
      </x:fill>
    </x:dxf>
    <x:dxf>
      <x:fill>
        <x:patternFill>
          <x:bgColor rgb="FFDFF3E5"/>
        </x:patternFill>
      </x:fill>
    </x:dxf>
    <x:dxf>
      <x:font>
        <x:color rgb="FFA22626"/>
      </x:font>
      <x:fill>
        <x:patternFill>
          <x:bgColor rgb="FFFCE3E3"/>
        </x:patternFill>
      </x:fill>
    </x:dxf>
    <x:dxf>
      <x:fill>
        <x:patternFill>
          <x:bgColor rgb="FFDFF3E5"/>
        </x:patternFill>
      </x:fill>
    </x:dxf>
    <x:dxf>
      <x:font>
        <x:color rgb="FFA22626"/>
      </x:font>
      <x:fill>
        <x:patternFill>
          <x:bgColor rgb="FFFCE3E3"/>
        </x:patternFill>
      </x:fill>
    </x:dxf>
    <x:dxf>
      <x:fill>
        <x:patternFill>
          <x:bgColor rgb="FFDFF3E5"/>
        </x:patternFill>
      </x:fill>
    </x:dxf>
    <x:dxf>
      <x:font>
        <x:color rgb="FFA22626"/>
      </x:font>
      <x:fill>
        <x:patternFill>
          <x:bgColor rgb="FFFCE3E3"/>
        </x:patternFill>
      </x:fill>
    </x:dxf>
    <x:dxf>
      <x:fill>
        <x:patternFill>
          <x:bgColor rgb="FFDFF3E5"/>
        </x:patternFill>
      </x:fill>
    </x:dxf>
    <x:dxf>
      <x:font>
        <x:color rgb="FFA22626"/>
      </x:font>
      <x:fill>
        <x:patternFill>
          <x:bgColor rgb="FFFCE3E3"/>
        </x:patternFill>
      </x:fill>
    </x:dxf>
    <x:dxf>
      <x:fill>
        <x:patternFill>
          <x:bgColor rgb="FFDFF3E5"/>
        </x:patternFill>
      </x:fill>
    </x:dxf>
    <x:dxf>
      <x:font>
        <x:color rgb="FFA22626"/>
      </x:font>
      <x:fill>
        <x:patternFill>
          <x:bgColor rgb="FFFCE3E3"/>
        </x:patternFill>
      </x:fill>
    </x:dxf>
    <x:dxf>
      <x:fill>
        <x:patternFill>
          <x:bgColor rgb="FFDFF3E5"/>
        </x:patternFill>
      </x:fill>
    </x:dxf>
    <x:dxf>
      <x:font>
        <x:color rgb="FFA22626"/>
      </x:font>
      <x:fill>
        <x:patternFill>
          <x:bgColor rgb="FFFCE3E3"/>
        </x:patternFill>
      </x:fill>
    </x:dxf>
    <x:dxf>
      <x:fill>
        <x:patternFill>
          <x:bgColor rgb="FFDFF3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2482e2b0c54c56" /><Relationship Type="http://schemas.openxmlformats.org/officeDocument/2006/relationships/theme" Target="/xl/theme/theme1.xml" Id="Rc5de78d8b6414f6b" /><Relationship Type="http://schemas.microsoft.com/office/2022/11/relationships/FeaturePropertyBag" Target="/xl/featurePropertyBag/featurePropertyBag.xml" Id="R9c0ca0ceb8214834" /><Relationship Type="http://schemas.openxmlformats.org/officeDocument/2006/relationships/sharedStrings" Target="/xl/sharedStrings.xml" Id="R225a5e9535744140" /><Relationship Type="http://schemas.openxmlformats.org/officeDocument/2006/relationships/worksheet" Target="/xl/worksheets/sheet1.xml" Id="R2a1d813d993c4829" /><Relationship Type="http://schemas.openxmlformats.org/officeDocument/2006/relationships/worksheet" Target="/xl/worksheets/sheet2.xml" Id="R94ab968714b747e4" /><Relationship Type="http://schemas.openxmlformats.org/officeDocument/2006/relationships/worksheet" Target="/xl/worksheets/sheet3.xml" Id="R6c04432d8f9a4c62" /><Relationship Type="http://schemas.openxmlformats.org/officeDocument/2006/relationships/worksheet" Target="/xl/worksheets/sheet4.xml" Id="R67d880c93d494014" /><Relationship Type="http://schemas.openxmlformats.org/officeDocument/2006/relationships/worksheet" Target="/xl/worksheets/sheet5.xml" Id="Rd11eedc3630d469a" /><Relationship Type="http://schemas.openxmlformats.org/officeDocument/2006/relationships/worksheet" Target="/xl/worksheets/sheet6.xml" Id="R6afed7d019d84a80" /><Relationship Type="http://schemas.openxmlformats.org/officeDocument/2006/relationships/worksheet" Target="/xl/worksheets/sheet7.xml" Id="R299f2ea2678841ac" /><Relationship Type="http://schemas.openxmlformats.org/officeDocument/2006/relationships/worksheet" Target="/xl/worksheets/sheet8.xml" Id="R54a5be3bd5db4e48" /><Relationship Type="http://schemas.openxmlformats.org/officeDocument/2006/relationships/worksheet" Target="/xl/worksheets/sheet9.xml" Id="R108cd8b92505493c" /><Relationship Type="http://schemas.openxmlformats.org/officeDocument/2006/relationships/worksheet" Target="/xl/worksheets/sheet10.xml" Id="Re769965a811a4426" /><Relationship Type="http://schemas.openxmlformats.org/officeDocument/2006/relationships/worksheet" Target="/xl/worksheets/sheet11.xml" Id="Rf31c57fca35048ee" /><Relationship Type="http://schemas.openxmlformats.org/officeDocument/2006/relationships/worksheet" Target="/xl/worksheets/sheet12.xml" Id="R664e1f50a8da4f6f" /><Relationship Type="http://schemas.openxmlformats.org/officeDocument/2006/relationships/worksheet" Target="/xl/worksheets/sheet13.xml" Id="R06880a4702a94662" /><Relationship Type="http://schemas.openxmlformats.org/officeDocument/2006/relationships/worksheet" Target="/xl/worksheets/sheet14.xml" Id="Rabfe94f0ab584732" /><Relationship Type="http://schemas.openxmlformats.org/officeDocument/2006/relationships/worksheet" Target="/xl/worksheets/sheet15.xml" Id="Raa7680628d3b4231" /><Relationship Type="http://schemas.openxmlformats.org/officeDocument/2006/relationships/worksheet" Target="/xl/worksheets/sheet16.xml" Id="R00ca79fc57d84a04" /><Relationship Type="http://schemas.openxmlformats.org/officeDocument/2006/relationships/worksheet" Target="/xl/worksheets/sheet17.xml" Id="Rb1e8273bdeae4ef9" /><Relationship Type="http://schemas.openxmlformats.org/officeDocument/2006/relationships/worksheet" Target="/xl/worksheets/sheet18.xml" Id="Ra18e096d37984b0e" /><Relationship Type="http://schemas.openxmlformats.org/officeDocument/2006/relationships/worksheet" Target="/xl/worksheets/sheet19.xml" Id="R506afa4c3dc9499e" /><Relationship Type="http://schemas.openxmlformats.org/officeDocument/2006/relationships/worksheet" Target="/xl/worksheets/sheet20.xml" Id="Rb125d2e5657648f8" /><Relationship Type="http://schemas.openxmlformats.org/officeDocument/2006/relationships/worksheet" Target="/xl/worksheets/sheet21.xml" Id="R35c9a89ea19f4181" /><Relationship Type="http://schemas.openxmlformats.org/officeDocument/2006/relationships/worksheet" Target="/xl/worksheets/sheet22.xml" Id="R724e0a01e18e47a3" /><Relationship Type="http://schemas.openxmlformats.org/officeDocument/2006/relationships/worksheet" Target="/xl/worksheets/sheet23.xml" Id="R4ea10e55efd74d43" /><Relationship Type="http://schemas.openxmlformats.org/officeDocument/2006/relationships/worksheet" Target="/xl/worksheets/sheet24.xml" Id="R9d4a60e39fca4d32" /><Relationship Type="http://schemas.openxmlformats.org/officeDocument/2006/relationships/worksheet" Target="/xl/worksheets/sheet25.xml" Id="R446115b929a749bc" /><Relationship Type="http://schemas.openxmlformats.org/officeDocument/2006/relationships/worksheet" Target="/xl/worksheets/sheet26.xml" Id="Rd37fb8a0af054c3e" /><Relationship Type="http://schemas.openxmlformats.org/officeDocument/2006/relationships/worksheet" Target="/xl/worksheets/sheet27.xml" Id="R7e032de0f5b84106" /><Relationship Type="http://schemas.openxmlformats.org/officeDocument/2006/relationships/worksheet" Target="/xl/worksheets/sheet28.xml" Id="R0f83a9e34547470e" /><Relationship Type="http://schemas.openxmlformats.org/officeDocument/2006/relationships/worksheet" Target="/xl/worksheets/sheet29.xml" Id="R5752a05ad71c4b92" /><Relationship Type="http://schemas.openxmlformats.org/officeDocument/2006/relationships/worksheet" Target="/xl/worksheets/sheet30.xml" Id="Rf34b4ecd27884b6b" /><Relationship Type="http://schemas.openxmlformats.org/officeDocument/2006/relationships/worksheet" Target="/xl/worksheets/sheet31.xml" Id="Ra970fc6dc240474a" /><Relationship Type="http://schemas.openxmlformats.org/officeDocument/2006/relationships/worksheet" Target="/xl/worksheets/sheet32.xml" Id="R59b856c502234159" /><Relationship Type="http://schemas.openxmlformats.org/officeDocument/2006/relationships/worksheet" Target="/xl/worksheets/sheet33.xml" Id="Rd8e08d8ac3c347f6" /><Relationship Type="http://schemas.openxmlformats.org/officeDocument/2006/relationships/worksheet" Target="/xl/worksheets/sheet34.xml" Id="R2274dc04dbdf48ee" /><Relationship Type="http://schemas.openxmlformats.org/officeDocument/2006/relationships/worksheet" Target="/xl/worksheets/sheet35.xml" Id="R2800404a410a4222" /><Relationship Type="http://schemas.openxmlformats.org/officeDocument/2006/relationships/worksheet" Target="/xl/worksheets/sheet36.xml" Id="R08d2572aecbf435b" /><Relationship Type="http://schemas.openxmlformats.org/officeDocument/2006/relationships/worksheet" Target="/xl/worksheets/sheet37.xml" Id="R135bcb3123b9423e" /><Relationship Type="http://schemas.openxmlformats.org/officeDocument/2006/relationships/worksheet" Target="/xl/worksheets/sheet38.xml" Id="R07e955c2bf4b4a3b" /><Relationship Type="http://schemas.openxmlformats.org/officeDocument/2006/relationships/worksheet" Target="/xl/worksheets/sheet39.xml" Id="R6fdeb9fc945f40df" /><Relationship Type="http://schemas.openxmlformats.org/officeDocument/2006/relationships/worksheet" Target="/xl/worksheets/sheet40.xml" Id="R419f47da8d3a4487" /><Relationship Type="http://schemas.openxmlformats.org/officeDocument/2006/relationships/worksheet" Target="/xl/worksheets/sheet41.xml" Id="R17767028986f4f46" /><Relationship Type="http://schemas.openxmlformats.org/officeDocument/2006/relationships/worksheet" Target="/xl/worksheets/sheet42.xml" Id="R0d5fcf5d291f4b0d" /><Relationship Type="http://schemas.microsoft.com/office/2017/10/relationships/person" Target="/xl/persons/person.xml" Id="Rc174a07f9fd3447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Ahmed Arafa" id="{B197B3F4-A956-4FEE-99F4-051EDCCE4A3D}"/>
</xltc:personList>
</file>

<file path=xl/tables/table1.xml><?xml version="1.0" encoding="utf-8"?>
<x:table xmlns:x="http://schemas.openxmlformats.org/spreadsheetml/2006/main" id="1" name="T_01_APP_CONFIG" displayName="T_01_APP_CONFIG" ref="A1:F18" headerRowCount="1" totalsRowCount="0" totalsRowShown="0">
  <x:autoFilter ref="A1:F18"/>
  <x:tableColumns count="6">
    <x:tableColumn id="1" name="config_key"/>
    <x:tableColumn id="2" name="value"/>
    <x:tableColumn id="3" name="value_type"/>
    <x:tableColumn id="4" name="description"/>
    <x:tableColumn id="5" name="enabled"/>
    <x:tableColumn id="6" name="restart_required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T_02_USERS" displayName="T_02_USERS" ref="A1:J3" headerRowCount="1" totalsRowCount="0" totalsRowShown="0">
  <x:autoFilter ref="A1:J3"/>
  <x:tableColumns count="10">
    <x:tableColumn id="1" name="user_id"/>
    <x:tableColumn id="2" name="display_name"/>
    <x:tableColumn id="3" name="role"/>
    <x:tableColumn id="4" name="gate_code_plaintext"/>
    <x:tableColumn id="5" name="admin_password_plaintext"/>
    <x:tableColumn id="6" name="active"/>
    <x:tableColumn id="7" name="default_language"/>
    <x:tableColumn id="8" name="first_login_at"/>
    <x:tableColumn id="9" name="last_login_at"/>
    <x:tableColumn id="10" name="notes"/>
  </x:tableColumns>
  <x:tableStyleInfo name="TableStyleMedium10" showFirstColumn="0" showLastColumn="0" showRowStripes="1" showColumnStripes="0"/>
</x:table>
</file>

<file path=xl/tables/table3.xml><?xml version="1.0" encoding="utf-8"?>
<x:table xmlns:x="http://schemas.openxmlformats.org/spreadsheetml/2006/main" id="40" name="T_03_SECRETS_DEV" displayName="T_03_SECRETS_DEV" ref="A1:H4" headerRowCount="1" totalsRowCount="0" totalsRowShown="0">
  <x:tableColumns count="8">
    <x:tableColumn id="1" name="secret_id"/>
    <x:tableColumn id="2" name="service_name"/>
    <x:tableColumn id="3" name="key_name"/>
    <x:tableColumn id="4" name="plaintext_value"/>
    <x:tableColumn id="5" name="environment"/>
    <x:tableColumn id="6" name="enabled"/>
    <x:tableColumn id="7" name="last_updated_at"/>
    <x:tableColumn id="8" name="notes"/>
  </x:tableColumns>
  <x:tableStyleInfo name="TableStyleMedium10" showFirstColumn="0" showLastColumn="0" showRowStripes="1" showColumnStripes="0"/>
</x:table>
</file>

<file path=xl/tables/table4.xml><?xml version="1.0" encoding="utf-8"?>
<x:table xmlns:x="http://schemas.openxmlformats.org/spreadsheetml/2006/main" id="4" name="T_04_ADMIN_FLAGS" displayName="T_04_ADMIN_FLAGS" ref="A1:I7" headerRowCount="1" totalsRowCount="0" totalsRowShown="0">
  <x:autoFilter ref="A1:I7"/>
  <x:tableColumns count="9">
    <x:tableColumn id="1" name="flag_id"/>
    <x:tableColumn id="2" name="scope"/>
    <x:tableColumn id="3" name="target_user_id"/>
    <x:tableColumn id="4" name="value"/>
    <x:tableColumn id="5" name="value_type"/>
    <x:tableColumn id="6" name="enabled"/>
    <x:tableColumn id="7" name="updated_at"/>
    <x:tableColumn id="8" name="updated_by"/>
    <x:tableColumn id="9" name="notes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T_05_ENTRY_LOGS" displayName="T_05_ENTRY_LOGS" ref="A1:L3" headerRowCount="1" totalsRowCount="0" totalsRowShown="0">
  <x:autoFilter ref="A1:L3"/>
  <x:tableColumns count="12">
    <x:tableColumn id="1" name="log_id"/>
    <x:tableColumn id="2" name="timestamp"/>
    <x:tableColumn id="3" name="user_id"/>
    <x:tableColumn id="4" name="session_id"/>
    <x:tableColumn id="5" name="event_type"/>
    <x:tableColumn id="6" name="access_result"/>
    <x:tableColumn id="7" name="ip_address"/>
    <x:tableColumn id="8" name="user_agent"/>
    <x:tableColumn id="9" name="device_id"/>
    <x:tableColumn id="10" name="language"/>
    <x:tableColumn id="11" name="route"/>
    <x:tableColumn id="12" name="details_json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T_06_SESSIONS" displayName="T_06_SESSIONS" ref="A1:K2" headerRowCount="1" totalsRowCount="0" totalsRowShown="0">
  <x:autoFilter ref="A1:K2"/>
  <x:tableColumns count="11">
    <x:tableColumn id="1" name="session_id"/>
    <x:tableColumn id="2" name="user_id"/>
    <x:tableColumn id="3" name="created_at"/>
    <x:tableColumn id="4" name="last_seen_at"/>
    <x:tableColumn id="5" name="expires_at"/>
    <x:tableColumn id="6" name="ip_address"/>
    <x:tableColumn id="7" name="device_id"/>
    <x:tableColumn id="8" name="status"/>
    <x:tableColumn id="9" name="gate_code_id"/>
    <x:tableColumn id="10" name="current_location"/>
    <x:tableColumn id="11" name="current_story_beat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7" name="T_07_LANGUAGES" displayName="T_07_LANGUAGES" ref="A1:J6" headerRowCount="1" totalsRowCount="0" totalsRowShown="0">
  <x:autoFilter ref="A1:J6"/>
  <x:tableColumns count="10">
    <x:tableColumn id="1" name="locale_id"/>
    <x:tableColumn id="2" name="short_code"/>
    <x:tableColumn id="3" name="english_name"/>
    <x:tableColumn id="4" name="native_name"/>
    <x:tableColumn id="5" name="direction"/>
    <x:tableColumn id="6" name="fallback_locale"/>
    <x:tableColumn id="7" name="enabled"/>
    <x:tableColumn id="8" name="sort_order"/>
    <x:tableColumn id="9" name="voice_locale"/>
    <x:tableColumn id="10" name="number_locale"/>
  </x:tableColumns>
  <x:tableStyleInfo name="TableStyleMedium4" showFirstColumn="0" showLastColumn="0" showRowStripes="1" showColumnStripes="0"/>
</x:table>
</file>

<file path=xl/tables/table8.xml><?xml version="1.0" encoding="utf-8"?>
<x:table xmlns:x="http://schemas.openxmlformats.org/spreadsheetml/2006/main" id="8" name="T_08_UI_TEXT" displayName="T_08_UI_TEXT" ref="A1:J8" headerRowCount="1" totalsRowCount="0" totalsRowShown="0">
  <x:autoFilter ref="A1:J8"/>
  <x:tableColumns count="10">
    <x:tableColumn id="1" name="ui_text_row_id"/>
    <x:tableColumn id="2" name="text_id"/>
    <x:tableColumn id="3" name="screen_id"/>
    <x:tableColumn id="4" name="component_id"/>
    <x:tableColumn id="5" name="locale"/>
    <x:tableColumn id="6" name="text"/>
    <x:tableColumn id="7" name="direction"/>
    <x:tableColumn id="8" name="aria_label"/>
    <x:tableColumn id="9" name="enabled"/>
    <x:tableColumn id="10" name="version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9" name="T_09_ICONS" displayName="T_09_ICONS" ref="A1:K12" headerRowCount="1" totalsRowCount="0" totalsRowShown="0">
  <x:autoFilter ref="A1:K12"/>
  <x:tableColumns count="11">
    <x:tableColumn id="1" name="icon_id"/>
    <x:tableColumn id="2" name="category"/>
    <x:tableColumn id="3" name="display_name"/>
    <x:tableColumn id="4" name="asset_url"/>
    <x:tableColumn id="5" name="format"/>
    <x:tableColumn id="6" name="rtl_mirror"/>
    <x:tableColumn id="7" name="alt_text_id"/>
    <x:tableColumn id="8" name="width_px"/>
    <x:tableColumn id="9" name="height_px"/>
    <x:tableColumn id="10" name="enabled"/>
    <x:tableColumn id="11" name="version"/>
  </x:tableColumns>
  <x:tableStyleInfo name="TableStyleMedium4" showFirstColumn="0" showLastColumn="0" showRowStripes="1" showColumnStripes="0"/>
</x:table>
</file>

<file path=xl/tables/table10.xml><?xml version="1.0" encoding="utf-8"?>
<x:table xmlns:x="http://schemas.openxmlformats.org/spreadsheetml/2006/main" id="10" name="T_10_ASSETS" displayName="T_10_ASSETS" ref="A1:L31" headerRowCount="1" totalsRowCount="0" totalsRowShown="0">
  <x:autoFilter ref="A1:L31"/>
  <x:tableColumns count="12">
    <x:tableColumn id="1" name="asset_id"/>
    <x:tableColumn id="2" name="asset_type"/>
    <x:tableColumn id="3" name="location_id"/>
    <x:tableColumn id="4" name="scene_id"/>
    <x:tableColumn id="5" name="drive_file_id"/>
    <x:tableColumn id="6" name="mobile_drive_file_id"/>
    <x:tableColumn id="7" name="poster_drive_file_id"/>
    <x:tableColumn id="8" name="preload_priority"/>
    <x:tableColumn id="9" name="loop"/>
    <x:tableColumn id="10" name="enabled"/>
    <x:tableColumn id="11" name="version"/>
    <x:tableColumn id="12" name="notes"/>
  </x:tableColumns>
  <x:tableStyleInfo name="TableStyleMedium4" showFirstColumn="0" showLastColumn="0" showRowStripes="1" showColumnStripes="0"/>
</x:table>
</file>

<file path=xl/tables/table11.xml><?xml version="1.0" encoding="utf-8"?>
<x:table xmlns:x="http://schemas.openxmlformats.org/spreadsheetml/2006/main" id="11" name="T_11_LOCATIONS" displayName="T_11_LOCATIONS" ref="A1:K9" headerRowCount="1" totalsRowCount="0" totalsRowShown="0">
  <x:autoFilter ref="A1:K9"/>
  <x:tableColumns count="11">
    <x:tableColumn id="1" name="location_id"/>
    <x:tableColumn id="2" name="display_name_text_id"/>
    <x:tableColumn id="3" name="subtitle_text_id"/>
    <x:tableColumn id="4" name="map_order"/>
    <x:tableColumn id="5" name="road_side"/>
    <x:tableColumn id="6" name="elevation_band"/>
    <x:tableColumn id="7" name="first_visit_order"/>
    <x:tableColumn id="8" name="entry_scene_id"/>
    <x:tableColumn id="9" name="key_type_id"/>
    <x:tableColumn id="10" name="ambient_asset_id"/>
    <x:tableColumn id="11" name="enabled"/>
  </x:tableColumns>
  <x:tableStyleInfo name="TableStyleMedium4" showFirstColumn="0" showLastColumn="0" showRowStripes="1" showColumnStripes="0"/>
</x:table>
</file>

<file path=xl/tables/table12.xml><?xml version="1.0" encoding="utf-8"?>
<x:table xmlns:x="http://schemas.openxmlformats.org/spreadsheetml/2006/main" id="12" name="T_12_SCENES" displayName="T_12_SCENES" ref="A1:L12" headerRowCount="1" totalsRowCount="0" totalsRowShown="0">
  <x:autoFilter ref="A1:L12"/>
  <x:tableColumns count="12">
    <x:tableColumn id="1" name="scene_id"/>
    <x:tableColumn id="2" name="location_id"/>
    <x:tableColumn id="3" name="scene_type"/>
    <x:tableColumn id="4" name="display_name"/>
    <x:tableColumn id="5" name="background_asset_id"/>
    <x:tableColumn id="6" name="mobile_asset_id"/>
    <x:tableColumn id="7" name="entry_transition"/>
    <x:tableColumn id="8" name="exit_transition"/>
    <x:tableColumn id="9" name="camera_mode"/>
    <x:tableColumn id="10" name="movement_profile"/>
    <x:tableColumn id="11" name="ambient_audio_id"/>
    <x:tableColumn id="12" name="enabled"/>
  </x:tableColumns>
  <x:tableStyleInfo name="TableStyleMedium4" showFirstColumn="0" showLastColumn="0" showRowStripes="1" showColumnStripes="0"/>
</x:table>
</file>

<file path=xl/tables/table13.xml><?xml version="1.0" encoding="utf-8"?>
<x:table xmlns:x="http://schemas.openxmlformats.org/spreadsheetml/2006/main" id="13" name="T_13_ROUTES" displayName="T_13_ROUTES" ref="A1:J3" headerRowCount="1" totalsRowCount="0" totalsRowShown="0">
  <x:autoFilter ref="A1:J3"/>
  <x:tableColumns count="10">
    <x:tableColumn id="1" name="route_id"/>
    <x:tableColumn id="2" name="route_name"/>
    <x:tableColumn id="3" name="route_type"/>
    <x:tableColumn id="4" name="start_scene_id"/>
    <x:tableColumn id="5" name="end_scene_id"/>
    <x:tableColumn id="6" name="mandatory_once"/>
    <x:tableColumn id="7" name="allow_skip_after_complete"/>
    <x:tableColumn id="8" name="active_version"/>
    <x:tableColumn id="9" name="enabled"/>
    <x:tableColumn id="10" name="notes"/>
  </x:tableColumns>
  <x:tableStyleInfo name="TableStyleMedium4" showFirstColumn="0" showLastColumn="0" showRowStripes="1" showColumnStripes="0"/>
</x:table>
</file>

<file path=xl/tables/table14.xml><?xml version="1.0" encoding="utf-8"?>
<x:table xmlns:x="http://schemas.openxmlformats.org/spreadsheetml/2006/main" id="14" name="T_14_STORY_BEATS" displayName="T_14_STORY_BEATS" ref="A1:P19" headerRowCount="1" totalsRowCount="0" totalsRowShown="0">
  <x:autoFilter ref="A1:P19"/>
  <x:tableColumns count="16">
    <x:tableColumn id="1" name="beat_id"/>
    <x:tableColumn id="2" name="route_id"/>
    <x:tableColumn id="3" name="sequence"/>
    <x:tableColumn id="4" name="scene_id"/>
    <x:tableColumn id="5" name="location_id"/>
    <x:tableColumn id="6" name="beat_type"/>
    <x:tableColumn id="7" name="title_text_id"/>
    <x:tableColumn id="8" name="dialogue_group_id"/>
    <x:tableColumn id="9" name="voiceover_group_id"/>
    <x:tableColumn id="10" name="required_interaction_id"/>
    <x:tableColumn id="11" name="reward_rule_id"/>
    <x:tableColumn id="12" name="checkpoint"/>
    <x:tableColumn id="13" name="next_beat_id"/>
    <x:tableColumn id="14" name="map_locked"/>
    <x:tableColumn id="15" name="walkman_state"/>
    <x:tableColumn id="16" name="enabled"/>
  </x:tableColumns>
  <x:tableStyleInfo name="TableStyleMedium4" showFirstColumn="0" showLastColumn="0" showRowStripes="1" showColumnStripes="0"/>
</x:table>
</file>

<file path=xl/tables/table15.xml><?xml version="1.0" encoding="utf-8"?>
<x:table xmlns:x="http://schemas.openxmlformats.org/spreadsheetml/2006/main" id="15" name="T_15_DIALOGUE" displayName="T_15_DIALOGUE" ref="A1:O8" headerRowCount="1" totalsRowCount="0" totalsRowShown="0">
  <x:autoFilter ref="A1:O8"/>
  <x:tableColumns count="15">
    <x:tableColumn id="1" name="dialogue_row_id"/>
    <x:tableColumn id="2" name="dialogue_id"/>
    <x:tableColumn id="3" name="group_id"/>
    <x:tableColumn id="4" name="sequence"/>
    <x:tableColumn id="5" name="speaker_id"/>
    <x:tableColumn id="6" name="locale"/>
    <x:tableColumn id="7" name="text"/>
    <x:tableColumn id="8" name="direction"/>
    <x:tableColumn id="9" name="emotion"/>
    <x:tableColumn id="10" name="display_mode"/>
    <x:tableColumn id="11" name="voiceover_id"/>
    <x:tableColumn id="12" name="requires_response"/>
    <x:tableColumn id="13" name="response_type"/>
    <x:tableColumn id="14" name="next_dialogue_id"/>
    <x:tableColumn id="15" name="enabled"/>
  </x:tableColumns>
  <x:tableStyleInfo name="TableStyleMedium4" showFirstColumn="0" showLastColumn="0" showRowStripes="1" showColumnStripes="0"/>
</x:table>
</file>

<file path=xl/tables/table16.xml><?xml version="1.0" encoding="utf-8"?>
<x:table xmlns:x="http://schemas.openxmlformats.org/spreadsheetml/2006/main" id="16" name="T_16_VOICEOVER" displayName="T_16_VOICEOVER" ref="A1:M11" headerRowCount="1" totalsRowCount="0" totalsRowShown="0">
  <x:autoFilter ref="A1:M11"/>
  <x:tableColumns count="13">
    <x:tableColumn id="1" name="voiceover_id"/>
    <x:tableColumn id="2" name="content_type"/>
    <x:tableColumn id="3" name="content_id"/>
    <x:tableColumn id="4" name="locale"/>
    <x:tableColumn id="5" name="audio_url"/>
    <x:tableColumn id="6" name="caption_text"/>
    <x:tableColumn id="7" name="direction"/>
    <x:tableColumn id="8" name="voice_name"/>
    <x:tableColumn id="9" name="duration_ms"/>
    <x:tableColumn id="10" name="caption_start_ms"/>
    <x:tableColumn id="11" name="caption_end_ms"/>
    <x:tableColumn id="12" name="enabled"/>
    <x:tableColumn id="13" name="notes"/>
  </x:tableColumns>
  <x:tableStyleInfo name="TableStyleMedium4" showFirstColumn="0" showLastColumn="0" showRowStripes="1" showColumnStripes="0"/>
</x:table>
</file>

<file path=xl/tables/table17.xml><?xml version="1.0" encoding="utf-8"?>
<x:table xmlns:x="http://schemas.openxmlformats.org/spreadsheetml/2006/main" id="17" name="T_17_EVENTS" displayName="T_17_EVENTS" ref="A1:L2" headerRowCount="1" totalsRowCount="0" totalsRowShown="0">
  <x:autoFilter ref="A1:L2"/>
  <x:tableColumns count="12">
    <x:tableColumn id="1" name="event_id"/>
    <x:tableColumn id="2" name="event_name"/>
    <x:tableColumn id="3" name="event_type"/>
    <x:tableColumn id="4" name="target_at"/>
    <x:tableColumn id="5" name="time_zone"/>
    <x:tableColumn id="6" name="start_at"/>
    <x:tableColumn id="7" name="end_at"/>
    <x:tableColumn id="8" name="enabled"/>
    <x:tableColumn id="9" name="story_route_id"/>
    <x:tableColumn id="10" name="force_flag_id"/>
    <x:tableColumn id="11" name="replay_allowed"/>
    <x:tableColumn id="12" name="notes"/>
  </x:tableColumns>
  <x:tableStyleInfo name="TableStyleMedium4" showFirstColumn="0" showLastColumn="0" showRowStripes="1" showColumnStripes="0"/>
</x:table>
</file>

<file path=xl/tables/table18.xml><?xml version="1.0" encoding="utf-8"?>
<x:table xmlns:x="http://schemas.openxmlformats.org/spreadsheetml/2006/main" id="18" name="T_18_EVENT_PHASES" displayName="T_18_EVENT_PHASES" ref="A1:K12" headerRowCount="1" totalsRowCount="0" totalsRowShown="0">
  <x:autoFilter ref="A1:K12"/>
  <x:tableColumns count="11">
    <x:tableColumn id="1" name="phase_id"/>
    <x:tableColumn id="2" name="event_id"/>
    <x:tableColumn id="3" name="sequence"/>
    <x:tableColumn id="4" name="start_offset_minutes"/>
    <x:tableColumn id="5" name="end_offset_minutes"/>
    <x:tableColumn id="6" name="phase_name"/>
    <x:tableColumn id="7" name="visual_theme_id"/>
    <x:tableColumn id="8" name="music_asset_id"/>
    <x:tableColumn id="9" name="voiceover_group_id"/>
    <x:tableColumn id="10" name="enabled"/>
    <x:tableColumn id="11" name="notes"/>
  </x:tableColumns>
  <x:tableStyleInfo name="TableStyleMedium4" showFirstColumn="0" showLastColumn="0" showRowStripes="1" showColumnStripes="0"/>
</x:table>
</file>

<file path=xl/tables/table19.xml><?xml version="1.0" encoding="utf-8"?>
<x:table xmlns:x="http://schemas.openxmlformats.org/spreadsheetml/2006/main" id="19" name="T_19_MESSAGES" displayName="T_19_MESSAGES" ref="A1:Q7" headerRowCount="1" totalsRowCount="0" totalsRowShown="0">
  <x:autoFilter ref="A1:Q7"/>
  <x:tableColumns count="17">
    <x:tableColumn id="1" name="message_row_id"/>
    <x:tableColumn id="2" name="message_id"/>
    <x:tableColumn id="3" name="sender_id"/>
    <x:tableColumn id="4" name="recipient_user_id"/>
    <x:tableColumn id="5" name="delivery_at"/>
    <x:tableColumn id="6" name="priority"/>
    <x:tableColumn id="7" name="message_type"/>
    <x:tableColumn id="8" name="locale"/>
    <x:tableColumn id="9" name="text"/>
    <x:tableColumn id="10" name="direction"/>
    <x:tableColumn id="11" name="image_asset_ids"/>
    <x:tableColumn id="12" name="voiceover_id"/>
    <x:tableColumn id="13" name="gift_ids"/>
    <x:tableColumn id="14" name="translation_group_id"/>
    <x:tableColumn id="15" name="archive_after_open"/>
    <x:tableColumn id="16" name="enabled"/>
    <x:tableColumn id="17" name="notes"/>
  </x:tableColumns>
  <x:tableStyleInfo name="TableStyleMedium4" showFirstColumn="0" showLastColumn="0" showRowStripes="1" showColumnStripes="0"/>
</x:table>
</file>

<file path=xl/tables/table20.xml><?xml version="1.0" encoding="utf-8"?>
<x:table xmlns:x="http://schemas.openxmlformats.org/spreadsheetml/2006/main" id="20" name="T_20_SONGS" displayName="T_20_SONGS" ref="A1:K4" headerRowCount="1" totalsRowCount="0" totalsRowShown="0">
  <x:autoFilter ref="A1:K4"/>
  <x:tableColumns count="11">
    <x:tableColumn id="1" name="song_id"/>
    <x:tableColumn id="2" name="title"/>
    <x:tableColumn id="3" name="artist"/>
    <x:tableColumn id="4" name="release_at"/>
    <x:tableColumn id="5" name="location_id"/>
    <x:tableColumn id="6" name="audio_url"/>
    <x:tableColumn id="7" name="cover_asset_id"/>
    <x:tableColumn id="8" name="explanation_text_id"/>
    <x:tableColumn id="9" name="available_in_walkman"/>
    <x:tableColumn id="10" name="enabled"/>
    <x:tableColumn id="11" name="notes"/>
  </x:tableColumns>
  <x:tableStyleInfo name="TableStyleMedium4" showFirstColumn="0" showLastColumn="0" showRowStripes="1" showColumnStripes="0"/>
</x:table>
</file>

<file path=xl/tables/table21.xml><?xml version="1.0" encoding="utf-8"?>
<x:table xmlns:x="http://schemas.openxmlformats.org/spreadsheetml/2006/main" id="21" name="T_21_KEYS" displayName="T_21_KEYS" ref="A1:J8" headerRowCount="1" totalsRowCount="0" totalsRowShown="0">
  <x:autoFilter ref="A1:J8"/>
  <x:tableColumns count="10">
    <x:tableColumn id="1" name="key_type_id"/>
    <x:tableColumn id="2" name="location_id"/>
    <x:tableColumn id="3" name="display_name_text_id"/>
    <x:tableColumn id="4" name="shape"/>
    <x:tableColumn id="5" name="icon_id"/>
    <x:tableColumn id="6" name="max_per_day"/>
    <x:tableColumn id="7" name="rarity"/>
    <x:tableColumn id="8" name="inventory_cap"/>
    <x:tableColumn id="9" name="enabled"/>
    <x:tableColumn id="10" name="notes"/>
  </x:tableColumns>
  <x:tableStyleInfo name="TableStyleMedium4" showFirstColumn="0" showLastColumn="0" showRowStripes="1" showColumnStripes="0"/>
</x:table>
</file>

<file path=xl/tables/table22.xml><?xml version="1.0" encoding="utf-8"?>
<x:table xmlns:x="http://schemas.openxmlformats.org/spreadsheetml/2006/main" id="22" name="T_22_KEY_RULES" displayName="T_22_KEY_RULES" ref="A1:M8" headerRowCount="1" totalsRowCount="0" totalsRowShown="0">
  <x:autoFilter ref="A1:M8"/>
  <x:tableColumns count="13">
    <x:tableColumn id="1" name="rule_id"/>
    <x:tableColumn id="2" name="key_type_id"/>
    <x:tableColumn id="3" name="source_type"/>
    <x:tableColumn id="4" name="source_id"/>
    <x:tableColumn id="5" name="available_from"/>
    <x:tableColumn id="6" name="available_to"/>
    <x:tableColumn id="7" name="required_story_beat"/>
    <x:tableColumn id="8" name="max_awards_per_period"/>
    <x:tableColumn id="9" name="period_type"/>
    <x:tableColumn id="10" name="reward_quantity"/>
    <x:tableColumn id="11" name="condition_json"/>
    <x:tableColumn id="12" name="enabled"/>
    <x:tableColumn id="13" name="notes"/>
  </x:tableColumns>
  <x:tableStyleInfo name="TableStyleMedium4" showFirstColumn="0" showLastColumn="0" showRowStripes="1" showColumnStripes="0"/>
</x:table>
</file>

<file path=xl/tables/table23.xml><?xml version="1.0" encoding="utf-8"?>
<x:table xmlns:x="http://schemas.openxmlformats.org/spreadsheetml/2006/main" id="23" name="T_23_ACHIEVEMENTS" displayName="T_23_ACHIEVEMENTS" ref="A1:L5" headerRowCount="1" totalsRowCount="0" totalsRowShown="0">
  <x:autoFilter ref="A1:L5"/>
  <x:tableColumns count="12">
    <x:tableColumn id="1" name="achievement_id"/>
    <x:tableColumn id="2" name="category"/>
    <x:tableColumn id="3" name="title_text_id"/>
    <x:tableColumn id="4" name="description_text_id"/>
    <x:tableColumn id="5" name="icon_id"/>
    <x:tableColumn id="6" name="secret"/>
    <x:tableColumn id="7" name="points"/>
    <x:tableColumn id="8" name="trigger_type"/>
    <x:tableColumn id="9" name="trigger_rule_json"/>
    <x:tableColumn id="10" name="reward_key_type_id"/>
    <x:tableColumn id="11" name="reward_quantity"/>
    <x:tableColumn id="12" name="enabled"/>
  </x:tableColumns>
  <x:tableStyleInfo name="TableStyleMedium4" showFirstColumn="0" showLastColumn="0" showRowStripes="1" showColumnStripes="0"/>
</x:table>
</file>

<file path=xl/tables/table24.xml><?xml version="1.0" encoding="utf-8"?>
<x:table xmlns:x="http://schemas.openxmlformats.org/spreadsheetml/2006/main" id="24" name="T_24_PLAYER_PROGRESS" displayName="T_24_PLAYER_PROGRESS" ref="A1:N2" headerRowCount="1" totalsRowCount="0" totalsRowShown="0">
  <x:autoFilter ref="A1:N2"/>
  <x:tableColumns count="14">
    <x:tableColumn id="1" name="user_route_key"/>
    <x:tableColumn id="2" name="user_id"/>
    <x:tableColumn id="3" name="story_route_id"/>
    <x:tableColumn id="4" name="story_version"/>
    <x:tableColumn id="5" name="status"/>
    <x:tableColumn id="6" name="current_beat_id"/>
    <x:tableColumn id="7" name="last_checkpoint_id"/>
    <x:tableColumn id="8" name="started_at"/>
    <x:tableColumn id="9" name="completed_at"/>
    <x:tableColumn id="10" name="first_journey_completed"/>
    <x:tableColumn id="11" name="force_first_journey"/>
    <x:tableColumn id="12" name="map_unlocked"/>
    <x:tableColumn id="13" name="current_location"/>
    <x:tableColumn id="14" name="updated_at"/>
  </x:tableColumns>
  <x:tableStyleInfo name="TableStyleMedium4" showFirstColumn="0" showLastColumn="0" showRowStripes="1" showColumnStripes="0"/>
</x:table>
</file>

<file path=xl/tables/table25.xml><?xml version="1.0" encoding="utf-8"?>
<x:table xmlns:x="http://schemas.openxmlformats.org/spreadsheetml/2006/main" id="25" name="T_25_PLAYER_KEYS" displayName="T_25_PLAYER_KEYS" ref="A1:J8" headerRowCount="1" totalsRowCount="0" totalsRowShown="0">
  <x:autoFilter ref="A1:J8"/>
  <x:tableColumns count="10">
    <x:tableColumn id="1" name="user_key_type"/>
    <x:tableColumn id="2" name="user_id"/>
    <x:tableColumn id="3" name="key_type_id"/>
    <x:tableColumn id="4" name="quantity_found"/>
    <x:tableColumn id="5" name="quantity_spent"/>
    <x:tableColumn id="6" name="quantity_available"/>
    <x:tableColumn id="7" name="last_found_at"/>
    <x:tableColumn id="8" name="last_source_id"/>
    <x:tableColumn id="9" name="last_award_date"/>
    <x:tableColumn id="10" name="updated_at"/>
  </x:tableColumns>
  <x:tableStyleInfo name="TableStyleMedium4" showFirstColumn="0" showLastColumn="0" showRowStripes="1" showColumnStripes="0"/>
</x:table>
</file>

<file path=xl/tables/table26.xml><?xml version="1.0" encoding="utf-8"?>
<x:table xmlns:x="http://schemas.openxmlformats.org/spreadsheetml/2006/main" id="26" name="T_26_PLAYER_ACHIEV" displayName="T_26_PLAYER_ACHIEV" ref="A1:I2" headerRowCount="1" totalsRowCount="0" totalsRowShown="0">
  <x:autoFilter ref="A1:I2"/>
  <x:tableColumns count="9">
    <x:tableColumn id="1" name="user_achievement_key"/>
    <x:tableColumn id="2" name="user_id"/>
    <x:tableColumn id="3" name="achievement_id"/>
    <x:tableColumn id="4" name="status"/>
    <x:tableColumn id="5" name="progress_value"/>
    <x:tableColumn id="6" name="unlocked_at"/>
    <x:tableColumn id="7" name="claimed"/>
    <x:tableColumn id="8" name="reward_claimed_at"/>
    <x:tableColumn id="9" name="updated_at"/>
  </x:tableColumns>
  <x:tableStyleInfo name="TableStyleMedium4" showFirstColumn="0" showLastColumn="0" showRowStripes="1" showColumnStripes="0"/>
</x:table>
</file>

<file path=xl/tables/table27.xml><?xml version="1.0" encoding="utf-8"?>
<x:table xmlns:x="http://schemas.openxmlformats.org/spreadsheetml/2006/main" id="27" name="T_27_PLAYER_MESSAGES" displayName="T_27_PLAYER_MESSAGES" ref="A1:M2" headerRowCount="1" totalsRowCount="0" totalsRowShown="0">
  <x:autoFilter ref="A1:M2"/>
  <x:tableColumns count="13">
    <x:tableColumn id="1" name="user_message_key"/>
    <x:tableColumn id="2" name="user_id"/>
    <x:tableColumn id="3" name="message_id"/>
    <x:tableColumn id="4" name="delivery_status"/>
    <x:tableColumn id="5" name="read_status"/>
    <x:tableColumn id="6" name="delivered_at"/>
    <x:tableColumn id="7" name="opened_at"/>
    <x:tableColumn id="8" name="archived_at"/>
    <x:tableColumn id="9" name="initial_locale"/>
    <x:tableColumn id="10" name="current_translation_locale"/>
    <x:tableColumn id="11" name="voice_played"/>
    <x:tableColumn id="12" name="gift_claimed"/>
    <x:tableColumn id="13" name="updated_at"/>
  </x:tableColumns>
  <x:tableStyleInfo name="TableStyleMedium4" showFirstColumn="0" showLastColumn="0" showRowStripes="1" showColumnStripes="0"/>
</x:table>
</file>

<file path=xl/tables/table28.xml><?xml version="1.0" encoding="utf-8"?>
<x:table xmlns:x="http://schemas.openxmlformats.org/spreadsheetml/2006/main" id="28" name="T_28_FARM_CROPS" displayName="T_28_FARM_CROPS" ref="A1:L4" headerRowCount="1" totalsRowCount="0" totalsRowShown="0">
  <x:autoFilter ref="A1:L4"/>
  <x:tableColumns count="12">
    <x:tableColumn id="1" name="crop_id"/>
    <x:tableColumn id="2" name="display_name_text_id"/>
    <x:tableColumn id="3" name="seed_icon_id"/>
    <x:tableColumn id="4" name="crop_icon_id"/>
    <x:tableColumn id="5" name="grow_hours"/>
    <x:tableColumn id="6" name="watering_interval_hours"/>
    <x:tableColumn id="7" name="wilt_after_hours"/>
    <x:tableColumn id="8" name="rain_waters"/>
    <x:tableColumn id="9" name="harvest_yield"/>
    <x:tableColumn id="10" name="rarity"/>
    <x:tableColumn id="11" name="enabled"/>
    <x:tableColumn id="12" name="notes"/>
  </x:tableColumns>
  <x:tableStyleInfo name="TableStyleMedium4" showFirstColumn="0" showLastColumn="0" showRowStripes="1" showColumnStripes="0"/>
</x:table>
</file>

<file path=xl/tables/table29.xml><?xml version="1.0" encoding="utf-8"?>
<x:table xmlns:x="http://schemas.openxmlformats.org/spreadsheetml/2006/main" id="29" name="T_29_PLAYER_FARM" displayName="T_29_PLAYER_FARM" ref="A1:L4" headerRowCount="1" totalsRowCount="0" totalsRowShown="0">
  <x:autoFilter ref="A1:L4"/>
  <x:tableColumns count="12">
    <x:tableColumn id="1" name="user_plot_key"/>
    <x:tableColumn id="2" name="user_id"/>
    <x:tableColumn id="3" name="plot_id"/>
    <x:tableColumn id="4" name="crop_id"/>
    <x:tableColumn id="5" name="state"/>
    <x:tableColumn id="6" name="planted_at"/>
    <x:tableColumn id="7" name="last_watered_at"/>
    <x:tableColumn id="8" name="next_water_due_at"/>
    <x:tableColumn id="9" name="ready_at"/>
    <x:tableColumn id="10" name="wilted_at"/>
    <x:tableColumn id="11" name="harvest_count"/>
    <x:tableColumn id="12" name="updated_at"/>
  </x:tableColumns>
  <x:tableStyleInfo name="TableStyleMedium4" showFirstColumn="0" showLastColumn="0" showRowStripes="1" showColumnStripes="0"/>
</x:table>
</file>

<file path=xl/tables/table30.xml><?xml version="1.0" encoding="utf-8"?>
<x:table xmlns:x="http://schemas.openxmlformats.org/spreadsheetml/2006/main" id="30" name="T_30_CHURCH_CONTENT" displayName="T_30_CHURCH_CONTENT" ref="A1:N3" headerRowCount="1" totalsRowCount="0" totalsRowShown="0">
  <x:autoFilter ref="A1:N3"/>
  <x:tableColumns count="14">
    <x:tableColumn id="1" name="content_row_id"/>
    <x:tableColumn id="2" name="content_id"/>
    <x:tableColumn id="3" name="content_type"/>
    <x:tableColumn id="4" name="active_date"/>
    <x:tableColumn id="5" name="locale"/>
    <x:tableColumn id="6" name="title"/>
    <x:tableColumn id="7" name="text"/>
    <x:tableColumn id="8" name="direction"/>
    <x:tableColumn id="9" name="image_asset_ids"/>
    <x:tableColumn id="10" name="voiceover_id"/>
    <x:tableColumn id="11" name="bible_reference"/>
    <x:tableColumn id="12" name="source_url"/>
    <x:tableColumn id="13" name="review_status"/>
    <x:tableColumn id="14" name="enabled"/>
  </x:tableColumns>
  <x:tableStyleInfo name="TableStyleMedium4" showFirstColumn="0" showLastColumn="0" showRowStripes="1" showColumnStripes="0"/>
</x:table>
</file>

<file path=xl/tables/table31.xml><?xml version="1.0" encoding="utf-8"?>
<x:table xmlns:x="http://schemas.openxmlformats.org/spreadsheetml/2006/main" id="31" name="T_31_CHURCH_QUIZ" displayName="T_31_CHURCH_QUIZ" ref="A1:Q3" headerRowCount="1" totalsRowCount="0" totalsRowShown="0">
  <x:autoFilter ref="A1:Q3"/>
  <x:tableColumns count="17">
    <x:tableColumn id="1" name="question_row_id"/>
    <x:tableColumn id="2" name="question_id"/>
    <x:tableColumn id="3" name="active_date"/>
    <x:tableColumn id="4" name="locale"/>
    <x:tableColumn id="5" name="question"/>
    <x:tableColumn id="6" name="question_type"/>
    <x:tableColumn id="7" name="option_a"/>
    <x:tableColumn id="8" name="option_b"/>
    <x:tableColumn id="9" name="option_c"/>
    <x:tableColumn id="10" name="option_d"/>
    <x:tableColumn id="11" name="correct_answer"/>
    <x:tableColumn id="12" name="explanation"/>
    <x:tableColumn id="13" name="bible_reference"/>
    <x:tableColumn id="14" name="achievement_id"/>
    <x:tableColumn id="15" name="key_reward_type_id"/>
    <x:tableColumn id="16" name="enabled"/>
    <x:tableColumn id="17" name="review_status"/>
  </x:tableColumns>
  <x:tableStyleInfo name="TableStyleMedium4" showFirstColumn="0" showLastColumn="0" showRowStripes="1" showColumnStripes="0"/>
</x:table>
</file>

<file path=xl/tables/table32.xml><?xml version="1.0" encoding="utf-8"?>
<x:table xmlns:x="http://schemas.openxmlformats.org/spreadsheetml/2006/main" id="32" name="T_32_ARCADE_GAMES" displayName="T_32_ARCADE_GAMES" ref="A1:N6" headerRowCount="1" totalsRowCount="0" totalsRowShown="0">
  <x:autoFilter ref="A1:N6"/>
  <x:tableColumns count="14">
    <x:tableColumn id="1" name="game_id"/>
    <x:tableColumn id="2" name="cabinet_slot"/>
    <x:tableColumn id="3" name="display_name_text_id"/>
    <x:tableColumn id="4" name="game_family"/>
    <x:tableColumn id="5" name="unlock_rule_id"/>
    <x:tableColumn id="6" name="key_cost_type_id"/>
    <x:tableColumn id="7" name="key_cost_quantity"/>
    <x:tableColumn id="8" name="difficulty_mode"/>
    <x:tableColumn id="9" name="score_mode"/>
    <x:tableColumn id="10" name="walkman_volume_percent"/>
    <x:tableColumn id="11" name="music_enabled"/>
    <x:tableColumn id="12" name="sfx_enabled"/>
    <x:tableColumn id="13" name="enabled"/>
    <x:tableColumn id="14" name="notes"/>
  </x:tableColumns>
  <x:tableStyleInfo name="TableStyleMedium4" showFirstColumn="0" showLastColumn="0" showRowStripes="1" showColumnStripes="0"/>
</x:table>
</file>

<file path=xl/tables/table33.xml><?xml version="1.0" encoding="utf-8"?>
<x:table xmlns:x="http://schemas.openxmlformats.org/spreadsheetml/2006/main" id="33" name="T_33_PLAYER_SCORES" displayName="T_33_PLAYER_SCORES" ref="A1:K2" headerRowCount="1" totalsRowCount="0" totalsRowShown="0">
  <x:autoFilter ref="A1:K2"/>
  <x:tableColumns count="11">
    <x:tableColumn id="1" name="attempt_id"/>
    <x:tableColumn id="2" name="user_id"/>
    <x:tableColumn id="3" name="game_id"/>
    <x:tableColumn id="4" name="played_at"/>
    <x:tableColumn id="5" name="score"/>
    <x:tableColumn id="6" name="difficulty"/>
    <x:tableColumn id="7" name="result"/>
    <x:tableColumn id="8" name="personal_best"/>
    <x:tableColumn id="9" name="achievement_ids"/>
    <x:tableColumn id="10" name="key_rewarded"/>
    <x:tableColumn id="11" name="updated_at"/>
  </x:tableColumns>
  <x:tableStyleInfo name="TableStyleMedium4" showFirstColumn="0" showLastColumn="0" showRowStripes="1" showColumnStripes="0"/>
</x:table>
</file>

<file path=xl/tables/table34.xml><?xml version="1.0" encoding="utf-8"?>
<x:table xmlns:x="http://schemas.openxmlformats.org/spreadsheetml/2006/main" id="34" name="T_34_MUSEUM_EXHIBITS" displayName="T_34_MUSEUM_EXHIBITS" ref="A1:M5" headerRowCount="1" totalsRowCount="0" totalsRowShown="0">
  <x:autoFilter ref="A1:M5"/>
  <x:tableColumns count="13">
    <x:tableColumn id="1" name="exhibit_id"/>
    <x:tableColumn id="2" name="wing_id"/>
    <x:tableColumn id="3" name="display_name_text_id"/>
    <x:tableColumn id="4" name="exhibit_type"/>
    <x:tableColumn id="5" name="source_content_id"/>
    <x:tableColumn id="6" name="unlock_type"/>
    <x:tableColumn id="7" name="unlock_rule_json"/>
    <x:tableColumn id="8" name="position_id"/>
    <x:tableColumn id="9" name="image_asset_ids"/>
    <x:tableColumn id="10" name="audio_asset_id"/>
    <x:tableColumn id="11" name="personal_only"/>
    <x:tableColumn id="12" name="enabled"/>
    <x:tableColumn id="13" name="notes"/>
  </x:tableColumns>
  <x:tableStyleInfo name="TableStyleMedium4" showFirstColumn="0" showLastColumn="0" showRowStripes="1" showColumnStripes="0"/>
</x:table>
</file>

<file path=xl/tables/table35.xml><?xml version="1.0" encoding="utf-8"?>
<x:table xmlns:x="http://schemas.openxmlformats.org/spreadsheetml/2006/main" id="35" name="T_35_PLAYER_EXHIBITS" displayName="T_35_PLAYER_EXHIBITS" ref="A1:J2" headerRowCount="1" totalsRowCount="0" totalsRowShown="0">
  <x:autoFilter ref="A1:J2"/>
  <x:tableColumns count="10">
    <x:tableColumn id="1" name="user_exhibit_key"/>
    <x:tableColumn id="2" name="user_id"/>
    <x:tableColumn id="3" name="exhibit_id"/>
    <x:tableColumn id="4" name="unlock_status"/>
    <x:tableColumn id="5" name="unlocked_at"/>
    <x:tableColumn id="6" name="view_count"/>
    <x:tableColumn id="7" name="last_viewed_at"/>
    <x:tableColumn id="8" name="book_page"/>
    <x:tableColumn id="9" name="completed"/>
    <x:tableColumn id="10" name="updated_at"/>
  </x:tableColumns>
  <x:tableStyleInfo name="TableStyleMedium4" showFirstColumn="0" showLastColumn="0" showRowStripes="1" showColumnStripes="0"/>
</x:table>
</file>

<file path=xl/tables/table36.xml><?xml version="1.0" encoding="utf-8"?>
<x:table xmlns:x="http://schemas.openxmlformats.org/spreadsheetml/2006/main" id="36" name="T_36_CHARACTERS" displayName="T_36_CHARACTERS" ref="A1:N3" headerRowCount="1" totalsRowCount="0" totalsRowShown="0">
  <x:autoFilter ref="A1:N3"/>
  <x:tableColumns count="14">
    <x:tableColumn id="1" name="character_id"/>
    <x:tableColumn id="2" name="system_name"/>
    <x:tableColumn id="3" name="display_name_mode"/>
    <x:tableColumn id="4" name="default_display_name"/>
    <x:tableColumn id="5" name="species"/>
    <x:tableColumn id="6" name="base_color"/>
    <x:tableColumn id="7" name="eye_color"/>
    <x:tableColumn id="8" name="gender_mode"/>
    <x:tableColumn id="9" name="home_location_id"/>
    <x:tableColumn id="10" name="ai_enabled"/>
    <x:tableColumn id="11" name="dialogue_mode"/>
    <x:tableColumn id="12" name="voice_enabled"/>
    <x:tableColumn id="13" name="enabled"/>
    <x:tableColumn id="14" name="notes"/>
  </x:tableColumns>
  <x:tableStyleInfo name="TableStyleMedium4" showFirstColumn="0" showLastColumn="0" showRowStripes="1" showColumnStripes="0"/>
</x:table>
</file>

<file path=xl/tables/table37.xml><?xml version="1.0" encoding="utf-8"?>
<x:table xmlns:x="http://schemas.openxmlformats.org/spreadsheetml/2006/main" id="37" name="T_37_CHARACTER_STATE" displayName="T_37_CHARACTER_STATE" ref="A1:N3" headerRowCount="1" totalsRowCount="0" totalsRowShown="0">
  <x:autoFilter ref="A1:N3"/>
  <x:tableColumns count="14">
    <x:tableColumn id="1" name="user_character_key"/>
    <x:tableColumn id="2" name="user_id"/>
    <x:tableColumn id="3" name="character_id"/>
    <x:tableColumn id="4" name="personal_name"/>
    <x:tableColumn id="5" name="selected_gender"/>
    <x:tableColumn id="6" name="relationship_level"/>
    <x:tableColumn id="7" name="current_location"/>
    <x:tableColumn id="8" name="current_activity"/>
    <x:tableColumn id="9" name="last_seen_at"/>
    <x:tableColumn id="10" name="mood"/>
    <x:tableColumn id="11" name="known_words_count"/>
    <x:tableColumn id="12" name="deliveries_count"/>
    <x:tableColumn id="13" name="story_flags_json"/>
    <x:tableColumn id="14" name="updated_at"/>
  </x:tableColumns>
  <x:tableStyleInfo name="TableStyleMedium4" showFirstColumn="0" showLastColumn="0" showRowStripes="1" showColumnStripes="0"/>
</x:table>
</file>

<file path=xl/tables/table38.xml><?xml version="1.0" encoding="utf-8"?>
<x:table xmlns:x="http://schemas.openxmlformats.org/spreadsheetml/2006/main" id="39" name="T_38_DATA_DICTIONARY" displayName="T_38_DATA_DICTIONARY" ref="A1:H43" headerRowCount="1" totalsRowCount="0" totalsRowShown="0">
  <x:autoFilter ref="A1:H43"/>
  <x:tableColumns count="8">
    <x:tableColumn id="1" name="sheet_name"/>
    <x:tableColumn id="2" name="purpose"/>
    <x:tableColumn id="3" name="primary_key"/>
    <x:tableColumn id="4" name="read_by"/>
    <x:tableColumn id="5" name="write_by"/>
    <x:tableColumn id="6" name="admin_editable"/>
    <x:tableColumn id="7" name="sensitivity"/>
    <x:tableColumn id="8" name="notes"/>
  </x:tableColumns>
  <x:tableStyleInfo name="TableStyleMedium4" showFirstColumn="0" showLastColumn="0" showRowStripes="1" showColumnStripes="0"/>
</x:table>
</file>

<file path=xl/tables/table39.xml><?xml version="1.0" encoding="utf-8"?>
<x:table xmlns:x="http://schemas.openxmlformats.org/spreadsheetml/2006/main" id="38" name="T_39_VALIDATION_LISTS" displayName="T_39_VALIDATION_LISTS" ref="A1:E52" headerRowCount="1" totalsRowCount="0" totalsRowShown="0">
  <x:autoFilter ref="A1:E52"/>
  <x:tableColumns count="5">
    <x:tableColumn id="1" name="list_name"/>
    <x:tableColumn id="2" name="value"/>
    <x:tableColumn id="3" name="sort_order"/>
    <x:tableColumn id="4" name="enabled"/>
    <x:tableColumn id="5" name="notes"/>
  </x:tableColumns>
  <x:tableStyleInfo name="TableStyleMedium4" showFirstColumn="0" showLastColumn="0" showRowStripes="1" showColumnStripes="0"/>
</x:table>
</file>

<file path=xl/tables/table40.xml><?xml version="1.0" encoding="utf-8"?>
<x:table xmlns:x="http://schemas.openxmlformats.org/spreadsheetml/2006/main" id="41" name="T_40_VAR_CONVERSATIONS" displayName="T_40_VAR_CONVERSATIONS" ref="A1:R2" headerRowCount="1" totalsRowCount="0" totalsRowShown="0">
  <x:tableColumns count="18">
    <x:tableColumn id="1" name="turn_id"/>
    <x:tableColumn id="2" name="conversation_id"/>
    <x:tableColumn id="3" name="user_id"/>
    <x:tableColumn id="4" name="session_id"/>
    <x:tableColumn id="5" name="character_id"/>
    <x:tableColumn id="6" name="sequence"/>
    <x:tableColumn id="7" name="speaker"/>
    <x:tableColumn id="8" name="locale"/>
    <x:tableColumn id="9" name="message_text"/>
    <x:tableColumn id="10" name="gemini_interaction_id"/>
    <x:tableColumn id="11" name="previous_interaction_id"/>
    <x:tableColumn id="12" name="created_at"/>
    <x:tableColumn id="13" name="model_id"/>
    <x:tableColumn id="14" name="input_tokens"/>
    <x:tableColumn id="15" name="output_tokens"/>
    <x:tableColumn id="16" name="status"/>
    <x:tableColumn id="17" name="visible_to_player"/>
    <x:tableColumn id="18" name="notes"/>
  </x:tableColumns>
  <x:tableStyleInfo name="TableStyleMedium4" showFirstColumn="0" showLastColumn="0" showRowStripes="1" showColumnStripes="0"/>
</x:table>
</file>

<file path=xl/tables/table41.xml><?xml version="1.0" encoding="utf-8"?>
<x:table xmlns:x="http://schemas.openxmlformats.org/spreadsheetml/2006/main" id="42" name="T_41_VAR_MEMORIES" displayName="T_41_VAR_MEMORIES" ref="A1:M2" headerRowCount="1" totalsRowCount="0" totalsRowShown="0">
  <x:tableColumns count="13">
    <x:tableColumn id="1" name="memory_id"/>
    <x:tableColumn id="2" name="user_id"/>
    <x:tableColumn id="3" name="character_id"/>
    <x:tableColumn id="4" name="category"/>
    <x:tableColumn id="5" name="summary"/>
    <x:tableColumn id="6" name="source_conversation_id"/>
    <x:tableColumn id="7" name="importance"/>
    <x:tableColumn id="8" name="first_seen_at"/>
    <x:tableColumn id="9" name="last_confirmed_at"/>
    <x:tableColumn id="10" name="expires_at"/>
    <x:tableColumn id="11" name="active"/>
    <x:tableColumn id="12" name="admin_approved"/>
    <x:tableColumn id="13" name="note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D2" dT="2026-09-04T08:16:51.267" personId="{B197B3F4-A956-4FEE-99F4-051EDCCE4A3D}" id="{826CF364-905A-4245-BF00-7217926DFD5D}">
    <xltc:text>DEV ONLY: plaintext Gate code by explicit prototype decision.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D2" dT="2026-09-04T08:16:51.266" personId="{B197B3F4-A956-4FEE-99F4-051EDCCE4A3D}" id="{4A9EC85A-474B-4B00-9BA6-3849D5F4FB42}">
    <xltc:text>DEV ONLY: Ahmed requested plaintext prototype secrets. Replace before production or public sharing.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ea0e481cf0040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1.xml" Id="R5466ffb578084ed7" /><Relationship Type="http://schemas.openxmlformats.org/officeDocument/2006/relationships/vmlDrawing" Target="/xl/drawings/vmldrawing.vml" Id="Rfa275124de2d4f15" /><Relationship Type="http://schemas.microsoft.com/office/2017/10/relationships/threadedComment" Target="/xl/threadedcomments/threadedcomment.xml" Id="R0c6c558129874354" /><Relationship Type="http://schemas.openxmlformats.org/officeDocument/2006/relationships/table" Target="/xl/tables/table2.xml" Id="R71e405ab90c24f9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2.xml" Id="R0569f1c661fd47e5" /><Relationship Type="http://schemas.openxmlformats.org/officeDocument/2006/relationships/vmlDrawing" Target="/xl/drawings/vmldrawing2.vml" Id="R89a08d349d6f4913" /><Relationship Type="http://schemas.microsoft.com/office/2017/10/relationships/threadedComment" Target="/xl/threadedcomments/threadedcomment2.xml" Id="Rf2d9b4cb30544076" /><Relationship Type="http://schemas.openxmlformats.org/officeDocument/2006/relationships/table" Target="/xl/tables/table3.xml" Id="Ra0d01918bafd44c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c72f86663134e5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43fbc7939e646b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77369fc26874a6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0e209e8ad42485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fb910c9e6624c2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17958c35181411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8e783acbd4564a7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9ee52a255096472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469b0af3d1104a09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0008bd523a584b59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464e0d362311482a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94f906b8fa984a0a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315dcd0bea1d49e1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ae3bb2ac4119470f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37df2e1726744d60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0f23da0e4953453b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a7fc57f873264386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1.xml" Id="R6eb4eb88f2ef43b8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2.xml" Id="Rfa2ad2f96124443e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3.xml" Id="Ra0f256bc464f442e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4.xml" Id="Rdee417dc9deb4cd5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5.xml" Id="R5459709c84dd4dff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6.xml" Id="R5cdc72092bef453f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7.xml" Id="R7ce248698f45415b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8.xml" Id="Rab831fc7cae6417e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29.xml" Id="Rac7451108c91442a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30.xml" Id="Raac3531410fe47c4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31.xml" Id="R2d31476e6176496c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32.xml" Id="R49c1e4e7bfed464d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33.xml" Id="R6c3bcaf322474844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34.xml" Id="R77aa5b195e1645a5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table" Target="/xl/tables/table35.xml" Id="R2730af89cea24d5a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table" Target="/xl/tables/table36.xml" Id="R62fad30d14634761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table" Target="/xl/tables/table37.xml" Id="R44158fc4916146fe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table" Target="/xl/tables/table38.xml" Id="R111cf0fdb7204b05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table" Target="/xl/tables/table39.xml" Id="Rfcd88f74bfb943bf" /></Relationships>
</file>

<file path=xl/worksheets/_rels/sheet41.xml.rels>&#65279;<?xml version="1.0" encoding="utf-8"?><Relationships xmlns="http://schemas.openxmlformats.org/package/2006/relationships"><Relationship Type="http://schemas.openxmlformats.org/officeDocument/2006/relationships/table" Target="/xl/tables/table40.xml" Id="Rbe5e6219ffe74e08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table" Target="/xl/tables/table41.xml" Id="R4278a64ab7114b2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0" customHeight="1">
      <x:c r="A1" s="136" t="str">
        <x:v>Veoulla's World — Google Sheets Data Blueprint</x:v>
      </x:c>
      <x:c r="B1" s="136"/>
      <x:c r="C1" s="136"/>
      <x:c r="D1" s="136"/>
      <x:c r="E1" s="136"/>
      <x:c r="F1" s="136"/>
      <x:c r="G1" s="136"/>
      <x:c r="H1" s="136"/>
      <x:c r="I1" s="136"/>
      <x:c r="J1" s="136"/>
    </x:row>
    <x:row r="2" ht="30" customHeight="1">
      <x:c r="A2" s="136"/>
      <x:c r="B2" s="136"/>
      <x:c r="C2" s="136"/>
      <x:c r="D2" s="136"/>
      <x:c r="E2" s="136"/>
      <x:c r="F2" s="136"/>
      <x:c r="G2" s="136"/>
      <x:c r="H2" s="136"/>
      <x:c r="I2" s="136"/>
      <x:c r="J2" s="136"/>
    </x:row>
    <x:row r="3" ht="26" customHeight="1">
      <x:c r="A3" s="269" t="str">
        <x:v>Prototype architecture • Sheets = authoritative data • Google Drive = media • Gemini API = VAR intelligence</x:v>
      </x:c>
      <x:c r="B3" s="269"/>
      <x:c r="C3" s="269"/>
      <x:c r="D3" s="269"/>
      <x:c r="E3" s="269"/>
      <x:c r="F3" s="269"/>
      <x:c r="G3" s="269"/>
      <x:c r="H3" s="269"/>
      <x:c r="I3" s="269"/>
      <x:c r="J3" s="269"/>
    </x:row>
    <x:row r="4">
      <x:c r="A4" s="270"/>
      <x:c r="B4" s="270"/>
      <x:c r="C4" s="270"/>
      <x:c r="D4" s="270"/>
      <x:c r="E4" s="270"/>
      <x:c r="F4" s="270"/>
      <x:c r="G4" s="270"/>
      <x:c r="H4" s="270"/>
      <x:c r="I4" s="270"/>
      <x:c r="J4" s="270"/>
    </x:row>
    <x:row r="5" ht="24" customHeight="1">
      <x:c r="A5" s="271" t="str">
        <x:v>Workbook version</x:v>
      </x:c>
      <x:c r="B5" s="272" t="str">
        <x:v>0.2</x:v>
      </x:c>
      <x:c r="C5" s="272" t="str">
        <x:v>Status</x:v>
      </x:c>
      <x:c r="D5" s="272" t="str">
        <x:v>Blueprint</x:v>
      </x:c>
      <x:c r="E5" s="272" t="str">
        <x:v>Languages</x:v>
      </x:c>
      <x:c r="F5" s="272" t="n">
        <x:v>5</x:v>
      </x:c>
      <x:c r="G5" s="272" t="str">
        <x:v>Target timezone</x:v>
      </x:c>
      <x:c r="H5" s="272" t="str">
        <x:v>Africa/Cairo</x:v>
      </x:c>
      <x:c r="I5" s="272" t="str">
        <x:v>Birthday</x:v>
      </x:c>
      <x:c r="J5" s="273" t="str">
        <x:v>2026-09-26</x:v>
      </x:c>
    </x:row>
    <x:row r="6">
      <x:c r="A6" s="270"/>
      <x:c r="B6" s="270"/>
      <x:c r="C6" s="270"/>
      <x:c r="D6" s="270"/>
      <x:c r="E6" s="270"/>
      <x:c r="F6" s="270"/>
      <x:c r="G6" s="270"/>
      <x:c r="H6" s="270"/>
      <x:c r="I6" s="270"/>
      <x:c r="J6" s="270"/>
    </x:row>
    <x:row r="7">
      <x:c r="A7" s="158" t="str">
        <x:v>Locations</x:v>
      </x:c>
      <x:c r="B7" s="159"/>
      <x:c r="C7" s="158" t="str">
        <x:v>Story beats</x:v>
      </x:c>
      <x:c r="D7" s="159"/>
      <x:c r="E7" s="158" t="str">
        <x:v>Key inventory</x:v>
      </x:c>
      <x:c r="F7" s="159"/>
      <x:c r="G7" s="158" t="str">
        <x:v>Unread messages</x:v>
      </x:c>
      <x:c r="H7" s="159"/>
      <x:c r="I7" s="158" t="str">
        <x:v>Configured events</x:v>
      </x:c>
      <x:c r="J7" s="159"/>
    </x:row>
    <x:row r="8">
      <x:c r="A8" s="160" t="n">
        <x:f>COUNTA('11_LOCATIONS'!A2:A100)</x:f>
        <x:v>8</x:v>
      </x:c>
      <x:c r="B8" s="161"/>
      <x:c r="C8" s="160" t="n">
        <x:f>COUNTA('14_STORY_BEATS'!A2:A200)</x:f>
        <x:v>18</x:v>
      </x:c>
      <x:c r="D8" s="161"/>
      <x:c r="E8" s="160" t="n">
        <x:f>SUM('25_PLAYER_KEYS'!F2:F200)</x:f>
        <x:v>0</x:v>
      </x:c>
      <x:c r="F8" s="161"/>
      <x:c r="G8" s="160" t="n">
        <x:f>COUNTIF('27_PLAYER_MESSAGES'!E2:E200,"unread")</x:f>
        <x:v>1</x:v>
      </x:c>
      <x:c r="H8" s="161"/>
      <x:c r="I8" s="160" t="n">
        <x:f>COUNTA('17_EVENTS'!A2:A100)</x:f>
        <x:v>1</x:v>
      </x:c>
      <x:c r="J8" s="161"/>
    </x:row>
    <x:row r="9">
      <x:c r="A9" s="270"/>
      <x:c r="B9" s="270"/>
      <x:c r="C9" s="270"/>
      <x:c r="D9" s="270"/>
      <x:c r="E9" s="270"/>
      <x:c r="F9" s="270"/>
      <x:c r="G9" s="270"/>
      <x:c r="H9" s="270"/>
      <x:c r="I9" s="270"/>
      <x:c r="J9" s="270"/>
    </x:row>
    <x:row r="10" ht="25" customHeight="1">
      <x:c r="A10" s="274" t="str">
        <x:v>Operating rules</x:v>
      </x:c>
      <x:c r="B10" s="274"/>
      <x:c r="C10" s="274"/>
      <x:c r="D10" s="274"/>
      <x:c r="E10" s="274"/>
      <x:c r="F10" s="274"/>
      <x:c r="G10" s="274"/>
      <x:c r="H10" s="274"/>
      <x:c r="I10" s="274"/>
      <x:c r="J10" s="274"/>
    </x:row>
    <x:row r="11">
      <x:c r="A11" s="275" t="str">
        <x:v>1</x:v>
      </x:c>
      <x:c r="B11" s="276" t="str">
        <x:v>All world content/configuration and player state are Sheet-authoritative.</x:v>
      </x:c>
      <x:c r="C11" s="270"/>
      <x:c r="D11" s="277" t="str">
        <x:v>DEV-ONLY plaintext security warning</x:v>
      </x:c>
      <x:c r="E11" s="277"/>
      <x:c r="F11" s="277"/>
      <x:c r="G11" s="277"/>
      <x:c r="H11" s="277"/>
      <x:c r="I11" s="277"/>
      <x:c r="J11" s="277"/>
    </x:row>
    <x:row r="12">
      <x:c r="A12" s="278" t="str">
        <x:v>2</x:v>
      </x:c>
      <x:c r="B12" s="279" t="str">
        <x:v>The React frontend reads/writes only through backend endpoints; never give the browser direct write credentials.</x:v>
      </x:c>
      <x:c r="C12" s="270"/>
      <x:c r="D12" s="223" t="str">
        <x:v>Ahmed explicitly approved plaintext prototype passwords and service keys. Keep the spreadsheet private. Before production or public sharing, replace this temporary design with secure authentication and managed secrets.</x:v>
      </x:c>
      <x:c r="E12" s="224"/>
      <x:c r="F12" s="224"/>
      <x:c r="G12" s="224"/>
      <x:c r="H12" s="224"/>
      <x:c r="I12" s="224"/>
      <x:c r="J12" s="225"/>
    </x:row>
    <x:row r="13">
      <x:c r="A13" s="278" t="str">
        <x:v>3</x:v>
      </x:c>
      <x:c r="B13" s="279" t="str">
        <x:v>Prototype passwords and service keys are intentionally plaintext in 02_USERS and 03_SECRETS_DEV.</x:v>
      </x:c>
      <x:c r="C13" s="270"/>
      <x:c r="D13" s="226"/>
      <x:c r="E13" s="227"/>
      <x:c r="F13" s="227"/>
      <x:c r="G13" s="227"/>
      <x:c r="H13" s="227"/>
      <x:c r="I13" s="227"/>
      <x:c r="J13" s="228"/>
    </x:row>
    <x:row r="14">
      <x:c r="A14" s="278" t="str">
        <x:v>4</x:v>
      </x:c>
      <x:c r="B14" s="279" t="str">
        <x:v>The Google Sheets connection credential stays in a separate server-only file and is not represented in this workbook.</x:v>
      </x:c>
      <x:c r="C14" s="270"/>
      <x:c r="D14" s="226"/>
      <x:c r="E14" s="227"/>
      <x:c r="F14" s="227"/>
      <x:c r="G14" s="227"/>
      <x:c r="H14" s="227"/>
      <x:c r="I14" s="227"/>
      <x:c r="J14" s="228"/>
    </x:row>
    <x:row r="15">
      <x:c r="A15" s="278" t="str">
        <x:v>5</x:v>
      </x:c>
      <x:c r="B15" s="279" t="str">
        <x:v>Use stable IDs. Never change an ID after it has been referenced by progress or logs.</x:v>
      </x:c>
      <x:c r="C15" s="270"/>
      <x:c r="D15" s="229"/>
      <x:c r="E15" s="230"/>
      <x:c r="F15" s="230"/>
      <x:c r="G15" s="230"/>
      <x:c r="H15" s="230"/>
      <x:c r="I15" s="230"/>
      <x:c r="J15" s="231"/>
    </x:row>
    <x:row r="16">
      <x:c r="A16" s="278" t="str">
        <x:v>6</x:v>
      </x:c>
      <x:c r="B16" s="279" t="str">
        <x:v>Add new localized content as one row per locale using the same content/group ID.</x:v>
      </x:c>
      <x:c r="C16" s="270"/>
      <x:c r="D16" s="270"/>
      <x:c r="E16" s="270"/>
      <x:c r="F16" s="270"/>
      <x:c r="G16" s="270"/>
      <x:c r="H16" s="270"/>
      <x:c r="I16" s="270"/>
      <x:c r="J16" s="270"/>
    </x:row>
    <x:row r="17">
      <x:c r="A17" s="278" t="str">
        <x:v>7</x:v>
      </x:c>
      <x:c r="B17" s="279" t="str">
        <x:v>Arabic rows use rtl; English, Italian, Greek, and French use ltr.</x:v>
      </x:c>
      <x:c r="C17" s="270"/>
      <x:c r="D17" s="280" t="str">
        <x:v>Implementation order</x:v>
      </x:c>
      <x:c r="E17" s="280"/>
      <x:c r="F17" s="280"/>
      <x:c r="G17" s="280"/>
      <x:c r="H17" s="280"/>
      <x:c r="I17" s="280"/>
      <x:c r="J17" s="280"/>
    </x:row>
    <x:row r="18">
      <x:c r="A18" s="278" t="str">
        <x:v>8</x:v>
      </x:c>
      <x:c r="B18" s="279" t="str">
        <x:v>Backend writes logs, checkpoints, keys, achievements, message state, and event completion.</x:v>
      </x:c>
      <x:c r="C18" s="270"/>
      <x:c r="D18" s="281" t="str">
        <x:v>1</x:v>
      </x:c>
      <x:c r="E18" s="282" t="str">
        <x:v>Backend Sheet gateway + cache + append/update operations</x:v>
      </x:c>
      <x:c r="F18" s="270"/>
      <x:c r="G18" s="270"/>
      <x:c r="H18" s="270"/>
      <x:c r="I18" s="270"/>
      <x:c r="J18" s="270"/>
    </x:row>
    <x:row r="19">
      <x:c r="A19" s="278" t="str">
        <x:v>9</x:v>
      </x:c>
      <x:c r="B19" s="279" t="str">
        <x:v>Do not duplicate one-time rewards during replay; consult player-state tabs before awarding.</x:v>
      </x:c>
      <x:c r="C19" s="270"/>
      <x:c r="D19" s="283" t="str">
        <x:v>2</x:v>
      </x:c>
      <x:c r="E19" s="284" t="str">
        <x:v>Access/users/sessions/logging and IP capture</x:v>
      </x:c>
      <x:c r="F19" s="270"/>
      <x:c r="G19" s="270"/>
      <x:c r="H19" s="270"/>
      <x:c r="I19" s="270"/>
      <x:c r="J19" s="270"/>
    </x:row>
    <x:row r="20">
      <x:c r="A20" s="285" t="str">
        <x:v>10</x:v>
      </x:c>
      <x:c r="B20" s="286" t="str">
        <x:v>Replace every &lt;PLACEHOLDER&gt; before enabling the corresponding row.</x:v>
      </x:c>
      <x:c r="C20" s="270"/>
      <x:c r="D20" s="283" t="str">
        <x:v>3</x:v>
      </x:c>
      <x:c r="E20" s="284" t="str">
        <x:v>Localization/UI/icons/assets/voice-over loader</x:v>
      </x:c>
      <x:c r="F20" s="270"/>
      <x:c r="G20" s="270"/>
      <x:c r="H20" s="270"/>
      <x:c r="I20" s="270"/>
      <x:c r="J20" s="270"/>
    </x:row>
    <x:row r="21">
      <x:c r="A21" s="296" t="str">
        <x:v>11</x:v>
      </x:c>
      <x:c r="B21" s="296" t="str">
        <x:v>All media binaries live in the approved Google Drive root. Sheets store asset IDs and Drive file IDs; Firebase Storage is not used.</x:v>
      </x:c>
      <x:c r="C21" s="270"/>
      <x:c r="D21" s="283" t="str">
        <x:v>4</x:v>
      </x:c>
      <x:c r="E21" s="284" t="str">
        <x:v>First Journey state machine and player progress/keys</x:v>
      </x:c>
      <x:c r="F21" s="270"/>
      <x:c r="G21" s="270"/>
      <x:c r="H21" s="270"/>
      <x:c r="I21" s="270"/>
      <x:c r="J21" s="270"/>
    </x:row>
    <x:row r="22">
      <x:c r="A22" s="296" t="str">
        <x:v>12</x:v>
      </x:c>
      <x:c r="B22" s="296" t="str">
        <x:v>The same server-only service-account JSON accesses the private Sheet and shared Drive root after both APIs are enabled.</x:v>
      </x:c>
      <x:c r="C22" s="270"/>
      <x:c r="D22" s="283" t="str">
        <x:v>5</x:v>
      </x:c>
      <x:c r="E22" s="284" t="str">
        <x:v>Locations and building systems</x:v>
      </x:c>
      <x:c r="F22" s="270"/>
      <x:c r="G22" s="270"/>
      <x:c r="H22" s="270"/>
      <x:c r="I22" s="270"/>
      <x:c r="J22" s="270"/>
    </x:row>
    <x:row r="23">
      <x:c r="A23" s="296" t="str">
        <x:v>13</x:v>
      </x:c>
      <x:c r="B23" s="296" t="str">
        <x:v>VAR uses Gemini API from Ahmed's second Google account. Google AI Pro subscription and Gemini API quota/billing are separate.</x:v>
      </x:c>
      <x:c r="C23" s="270"/>
      <x:c r="D23" s="287" t="str">
        <x:v>6</x:v>
      </x:c>
      <x:c r="E23" s="288" t="str">
        <x:v>Birthday event engine and Admin simulation</x:v>
      </x:c>
      <x:c r="F23" s="270"/>
      <x:c r="G23" s="270"/>
      <x:c r="H23" s="270"/>
      <x:c r="I23" s="270"/>
      <x:c r="J23" s="270"/>
    </x:row>
    <x:row r="24">
      <x:c r="A24" s="296" t="str">
        <x:v>14</x:v>
      </x:c>
      <x:c r="B24" s="296" t="str">
        <x:v>Every VAR turn is archived in 40_VAR_CONVERSATIONS; durable extracted memories live in 41_VAR_MEMORIES.</x:v>
      </x:c>
      <x:c r="C24" s="270"/>
      <x:c r="D24" s="270"/>
      <x:c r="E24" s="270"/>
      <x:c r="F24" s="270"/>
      <x:c r="G24" s="270"/>
      <x:c r="H24" s="270"/>
      <x:c r="I24" s="270"/>
      <x:c r="J24" s="270"/>
    </x:row>
    <x:row r="25">
      <x:c r="A25" s="296" t="str">
        <x:v>15</x:v>
      </x:c>
      <x:c r="B25" s="296" t="str">
        <x:v>Before every milestone, issue a Milestone Start Card: inputs required, scope, expected result, acceptance tests, and explicit stop conditions.</x:v>
      </x:c>
      <x:c r="C25" s="270"/>
      <x:c r="D25" s="270"/>
      <x:c r="E25" s="270"/>
      <x:c r="F25" s="270"/>
      <x:c r="G25" s="270"/>
      <x:c r="H25" s="270"/>
      <x:c r="I25" s="270"/>
      <x:c r="J25" s="270"/>
    </x:row>
    <x:row r="26">
      <x:c r="A26" s="289" t="str">
        <x:v>Tab catalog — see 38_DATA_DICTIONARY for complete ownership and integration notes</x:v>
      </x:c>
      <x:c r="B26" s="289"/>
      <x:c r="C26" s="289"/>
      <x:c r="D26" s="289"/>
      <x:c r="E26" s="289"/>
      <x:c r="F26" s="289"/>
      <x:c r="G26" s="289"/>
      <x:c r="H26" s="289"/>
      <x:c r="I26" s="289"/>
      <x:c r="J26" s="289"/>
    </x:row>
    <x:row r="27">
      <x:c r="A27" s="290" t="n">
        <x:v>1</x:v>
      </x:c>
      <x:c r="B27" s="291" t="str">
        <x:v>00_README</x:v>
      </x:c>
      <x:c r="C27" s="276" t="str">
        <x:v>Workbook map, operating rules, health checks, and quick links</x:v>
      </x:c>
      <x:c r="D27" s="270"/>
      <x:c r="E27" s="270"/>
      <x:c r="F27" s="270"/>
      <x:c r="G27" s="270"/>
      <x:c r="H27" s="270"/>
      <x:c r="I27" s="270"/>
      <x:c r="J27" s="270"/>
    </x:row>
    <x:row r="28">
      <x:c r="A28" s="292" t="n">
        <x:v>2</x:v>
      </x:c>
      <x:c r="B28" s="293" t="str">
        <x:v>01_APP_CONFIG</x:v>
      </x:c>
      <x:c r="C28" s="279" t="str">
        <x:v>Global editable application settings and active versions.</x:v>
      </x:c>
      <x:c r="D28" s="270"/>
      <x:c r="E28" s="270"/>
      <x:c r="F28" s="270"/>
      <x:c r="G28" s="270"/>
      <x:c r="H28" s="270"/>
      <x:c r="I28" s="270"/>
      <x:c r="J28" s="270"/>
    </x:row>
    <x:row r="29">
      <x:c r="A29" s="292" t="n">
        <x:v>3</x:v>
      </x:c>
      <x:c r="B29" s="293" t="str">
        <x:v>02_USERS</x:v>
      </x:c>
      <x:c r="C29" s="279" t="str">
        <x:v>Prototype user identities, roles, and plaintext access fields.</x:v>
      </x:c>
      <x:c r="D29" s="270"/>
      <x:c r="E29" s="270"/>
      <x:c r="F29" s="270"/>
      <x:c r="G29" s="270"/>
      <x:c r="H29" s="270"/>
      <x:c r="I29" s="270"/>
      <x:c r="J29" s="270"/>
    </x:row>
    <x:row r="30">
      <x:c r="A30" s="292" t="n">
        <x:v>4</x:v>
      </x:c>
      <x:c r="B30" s="293" t="str">
        <x:v>03_SECRETS_DEV</x:v>
      </x:c>
      <x:c r="C30" s="279" t="str">
        <x:v>Temporary plaintext Gemini, weather, and voice-provider credentials; backend only.</x:v>
      </x:c>
      <x:c r="D30" s="270"/>
      <x:c r="E30" s="270"/>
      <x:c r="F30" s="270"/>
      <x:c r="G30" s="270"/>
      <x:c r="H30" s="270"/>
      <x:c r="I30" s="270"/>
      <x:c r="J30" s="270"/>
    </x:row>
    <x:row r="31">
      <x:c r="A31" s="292" t="n">
        <x:v>5</x:v>
      </x:c>
      <x:c r="B31" s="293" t="str">
        <x:v>04_ADMIN_FLAGS</x:v>
      </x:c>
      <x:c r="C31" s="279" t="str">
        <x:v>Live Admin switches and test overrides consumed without rebuilding React.</x:v>
      </x:c>
      <x:c r="D31" s="270"/>
      <x:c r="E31" s="270"/>
      <x:c r="F31" s="270"/>
      <x:c r="G31" s="270"/>
      <x:c r="H31" s="270"/>
      <x:c r="I31" s="270"/>
      <x:c r="J31" s="270"/>
    </x:row>
    <x:row r="32">
      <x:c r="A32" s="292" t="n">
        <x:v>6</x:v>
      </x:c>
      <x:c r="B32" s="293" t="str">
        <x:v>05_ENTRY_LOGS</x:v>
      </x:c>
      <x:c r="C32" s="279" t="str">
        <x:v>Append-only entry, authentication, navigation, completion, and IP audit events.</x:v>
      </x:c>
      <x:c r="D32" s="270"/>
      <x:c r="E32" s="270"/>
      <x:c r="F32" s="270"/>
      <x:c r="G32" s="270"/>
      <x:c r="H32" s="270"/>
      <x:c r="I32" s="270"/>
      <x:c r="J32" s="270"/>
    </x:row>
    <x:row r="33">
      <x:c r="A33" s="292" t="n">
        <x:v>7</x:v>
      </x:c>
      <x:c r="B33" s="293" t="str">
        <x:v>06_SESSIONS</x:v>
      </x:c>
      <x:c r="C33" s="279" t="str">
        <x:v>Current and historical Veoulla/Admin sessions.</x:v>
      </x:c>
      <x:c r="D33" s="270"/>
      <x:c r="E33" s="270"/>
      <x:c r="F33" s="270"/>
      <x:c r="G33" s="270"/>
      <x:c r="H33" s="270"/>
      <x:c r="I33" s="270"/>
      <x:c r="J33" s="270"/>
    </x:row>
    <x:row r="34">
      <x:c r="A34" s="292" t="n">
        <x:v>8</x:v>
      </x:c>
      <x:c r="B34" s="293" t="str">
        <x:v>07_LANGUAGES</x:v>
      </x:c>
      <x:c r="C34" s="279" t="str">
        <x:v>Locale, direction, fallback, and voice metadata.</x:v>
      </x:c>
      <x:c r="D34" s="270"/>
      <x:c r="E34" s="270"/>
      <x:c r="F34" s="270"/>
      <x:c r="G34" s="270"/>
      <x:c r="H34" s="270"/>
      <x:c r="I34" s="270"/>
      <x:c r="J34" s="270"/>
    </x:row>
    <x:row r="35">
      <x:c r="A35" s="292" t="n">
        <x:v>9</x:v>
      </x:c>
      <x:c r="B35" s="293" t="str">
        <x:v>08_UI_TEXT</x:v>
      </x:c>
      <x:c r="C35" s="279" t="str">
        <x:v>Normalized UI labels and accessibility text in five languages.</x:v>
      </x:c>
      <x:c r="D35" s="270"/>
      <x:c r="E35" s="270"/>
      <x:c r="F35" s="270"/>
      <x:c r="G35" s="270"/>
      <x:c r="H35" s="270"/>
      <x:c r="I35" s="270"/>
      <x:c r="J35" s="270"/>
    </x:row>
    <x:row r="36">
      <x:c r="A36" s="292" t="n">
        <x:v>10</x:v>
      </x:c>
      <x:c r="B36" s="293" t="str">
        <x:v>09_ICONS</x:v>
      </x:c>
      <x:c r="C36" s="279" t="str">
        <x:v>Interface, key, language, and event icons referencing the central Drive-backed asset registry.</x:v>
      </x:c>
      <x:c r="D36" s="270"/>
      <x:c r="E36" s="270"/>
      <x:c r="F36" s="270"/>
      <x:c r="G36" s="270"/>
      <x:c r="H36" s="270"/>
      <x:c r="I36" s="270"/>
      <x:c r="J36" s="270"/>
    </x:row>
    <x:row r="37">
      <x:c r="A37" s="292" t="n">
        <x:v>11</x:v>
      </x:c>
      <x:c r="B37" s="293" t="str">
        <x:v>10_ASSETS</x:v>
      </x:c>
      <x:c r="C37" s="279" t="str">
        <x:v>Central versioned Google Drive file IDs for images, video, audio, posters, PDFs, SVGs, and animation.</x:v>
      </x:c>
      <x:c r="D37" s="270"/>
      <x:c r="E37" s="270"/>
      <x:c r="F37" s="270"/>
      <x:c r="G37" s="270"/>
      <x:c r="H37" s="270"/>
      <x:c r="I37" s="270"/>
      <x:c r="J37" s="270"/>
    </x:row>
    <x:row r="38">
      <x:c r="A38" s="292" t="n">
        <x:v>12</x:v>
      </x:c>
      <x:c r="B38" s="293" t="str">
        <x:v>11_LOCATIONS</x:v>
      </x:c>
      <x:c r="C38" s="279" t="str">
        <x:v>Canonical island locations and route/map metadata.</x:v>
      </x:c>
      <x:c r="D38" s="270"/>
      <x:c r="E38" s="270"/>
      <x:c r="F38" s="270"/>
      <x:c r="G38" s="270"/>
      <x:c r="H38" s="270"/>
      <x:c r="I38" s="270"/>
      <x:c r="J38" s="270"/>
    </x:row>
    <x:row r="39">
      <x:c r="A39" s="292" t="n">
        <x:v>13</x:v>
      </x:c>
      <x:c r="B39" s="293" t="str">
        <x:v>12_SCENES</x:v>
      </x:c>
      <x:c r="C39" s="279" t="str">
        <x:v>Scene packages, camera/movement profiles, transitions, and ambience.</x:v>
      </x:c>
      <x:c r="D39" s="270"/>
      <x:c r="E39" s="270"/>
      <x:c r="F39" s="270"/>
      <x:c r="G39" s="270"/>
      <x:c r="H39" s="270"/>
      <x:c r="I39" s="270"/>
      <x:c r="J39" s="270"/>
    </x:row>
    <x:row r="40">
      <x:c r="A40" s="292" t="n">
        <x:v>14</x:v>
      </x:c>
      <x:c r="B40" s="293" t="str">
        <x:v>13_ROUTES</x:v>
      </x:c>
      <x:c r="C40" s="279" t="str">
        <x:v>Story and event route definitions.</x:v>
      </x:c>
      <x:c r="D40" s="270"/>
      <x:c r="E40" s="270"/>
      <x:c r="F40" s="270"/>
      <x:c r="G40" s="270"/>
      <x:c r="H40" s="270"/>
      <x:c r="I40" s="270"/>
      <x:c r="J40" s="270"/>
    </x:row>
    <x:row r="41">
      <x:c r="A41" s="292" t="n">
        <x:v>15</x:v>
      </x:c>
      <x:c r="B41" s="293" t="str">
        <x:v>14_STORY_BEATS</x:v>
      </x:c>
      <x:c r="C41" s="279" t="str">
        <x:v>Ordered, checkpointed story beats controlled entirely by Sheet data.</x:v>
      </x:c>
      <x:c r="D41" s="270"/>
      <x:c r="E41" s="270"/>
      <x:c r="F41" s="270"/>
      <x:c r="G41" s="270"/>
      <x:c r="H41" s="270"/>
      <x:c r="I41" s="270"/>
      <x:c r="J41" s="270"/>
    </x:row>
    <x:row r="42">
      <x:c r="A42" s="292" t="n">
        <x:v>16</x:v>
      </x:c>
      <x:c r="B42" s="293" t="str">
        <x:v>15_DIALOGUE</x:v>
      </x:c>
      <x:c r="C42" s="279" t="str">
        <x:v>Localized character dialogue and response behavior.</x:v>
      </x:c>
      <x:c r="D42" s="270"/>
      <x:c r="E42" s="270"/>
      <x:c r="F42" s="270"/>
      <x:c r="G42" s="270"/>
      <x:c r="H42" s="270"/>
      <x:c r="I42" s="270"/>
      <x:c r="J42" s="270"/>
    </x:row>
    <x:row r="43">
      <x:c r="A43" s="292" t="n">
        <x:v>17</x:v>
      </x:c>
      <x:c r="B43" s="293" t="str">
        <x:v>16_VOICEOVER</x:v>
      </x:c>
      <x:c r="C43" s="279" t="str">
        <x:v>Five-language audio asset IDs, captions, direction, voice, and timing.</x:v>
      </x:c>
      <x:c r="D43" s="270"/>
      <x:c r="E43" s="270"/>
      <x:c r="F43" s="270"/>
      <x:c r="G43" s="270"/>
      <x:c r="H43" s="270"/>
      <x:c r="I43" s="270"/>
      <x:c r="J43" s="270"/>
    </x:row>
    <x:row r="44">
      <x:c r="A44" s="292" t="n">
        <x:v>18</x:v>
      </x:c>
      <x:c r="B44" s="293" t="str">
        <x:v>17_EVENTS</x:v>
      </x:c>
      <x:c r="C44" s="279" t="str">
        <x:v>Scheduled world events and one-time story routes.</x:v>
      </x:c>
      <x:c r="D44" s="270"/>
      <x:c r="E44" s="270"/>
      <x:c r="F44" s="270"/>
      <x:c r="G44" s="270"/>
      <x:c r="H44" s="270"/>
      <x:c r="I44" s="270"/>
      <x:c r="J44" s="270"/>
    </x:row>
    <x:row r="45">
      <x:c r="A45" s="292" t="n">
        <x:v>19</x:v>
      </x:c>
      <x:c r="B45" s="293" t="str">
        <x:v>18_EVENT_PHASES</x:v>
      </x:c>
      <x:c r="C45" s="279" t="str">
        <x:v>Time-offset phases controlling birthday visuals, content, and behavior.</x:v>
      </x:c>
      <x:c r="D45" s="270"/>
      <x:c r="E45" s="270"/>
      <x:c r="F45" s="270"/>
      <x:c r="G45" s="270"/>
      <x:c r="H45" s="270"/>
      <x:c r="I45" s="270"/>
      <x:c r="J45" s="270"/>
    </x:row>
    <x:row r="46">
      <x:c r="A46" s="292" t="n">
        <x:v>20</x:v>
      </x:c>
      <x:c r="B46" s="293" t="str">
        <x:v>19_MESSAGES</x:v>
      </x:c>
      <x:c r="C46" s="279" t="str">
        <x:v>Scheduled multilingual messages, gifts, images, and voice notes.</x:v>
      </x:c>
      <x:c r="D46" s="270"/>
      <x:c r="E46" s="270"/>
      <x:c r="F46" s="270"/>
      <x:c r="G46" s="270"/>
      <x:c r="H46" s="270"/>
      <x:c r="I46" s="270"/>
      <x:c r="J46" s="270"/>
    </x:row>
    <x:row r="47">
      <x:c r="A47" s="292" t="n">
        <x:v>21</x:v>
      </x:c>
      <x:c r="B47" s="293" t="str">
        <x:v>20_SONGS</x:v>
      </x:c>
      <x:c r="C47" s="279" t="str">
        <x:v>Vinyl Café and Walkman catalog referencing Drive-backed audio assets.</x:v>
      </x:c>
      <x:c r="D47" s="270"/>
      <x:c r="E47" s="270"/>
      <x:c r="F47" s="270"/>
      <x:c r="G47" s="270"/>
      <x:c r="H47" s="270"/>
      <x:c r="I47" s="270"/>
      <x:c r="J47" s="270"/>
    </x:row>
    <x:row r="48">
      <x:c r="A48" s="292" t="n">
        <x:v>22</x:v>
      </x:c>
      <x:c r="B48" s="293" t="str">
        <x:v>21_KEYS</x:v>
      </x:c>
      <x:c r="C48" s="279" t="str">
        <x:v>Canonical key types, shapes, daily caps, and locations.</x:v>
      </x:c>
      <x:c r="D48" s="270"/>
      <x:c r="E48" s="270"/>
      <x:c r="F48" s="270"/>
      <x:c r="G48" s="270"/>
      <x:c r="H48" s="270"/>
      <x:c r="I48" s="270"/>
      <x:c r="J48" s="270"/>
    </x:row>
    <x:row r="49">
      <x:c r="A49" s="292" t="n">
        <x:v>23</x:v>
      </x:c>
      <x:c r="B49" s="293" t="str">
        <x:v>22_KEY_RULES</x:v>
      </x:c>
      <x:c r="C49" s="279" t="str">
        <x:v>Date, story, interaction, and reward rules for every key award.</x:v>
      </x:c>
      <x:c r="D49" s="270"/>
      <x:c r="E49" s="270"/>
      <x:c r="F49" s="270"/>
      <x:c r="G49" s="270"/>
      <x:c r="H49" s="270"/>
      <x:c r="I49" s="270"/>
      <x:c r="J49" s="270"/>
    </x:row>
    <x:row r="50">
      <x:c r="A50" s="292" t="n">
        <x:v>24</x:v>
      </x:c>
      <x:c r="B50" s="293" t="str">
        <x:v>23_ACHIEVEMENTS</x:v>
      </x:c>
      <x:c r="C50" s="279" t="str">
        <x:v>Visible/secret achievements, triggers, and rewards.</x:v>
      </x:c>
      <x:c r="D50" s="270"/>
      <x:c r="E50" s="270"/>
      <x:c r="F50" s="270"/>
      <x:c r="G50" s="270"/>
      <x:c r="H50" s="270"/>
      <x:c r="I50" s="270"/>
      <x:c r="J50" s="270"/>
    </x:row>
    <x:row r="51">
      <x:c r="A51" s="292" t="n">
        <x:v>25</x:v>
      </x:c>
      <x:c r="B51" s="293" t="str">
        <x:v>24_PLAYER_PROGRESS</x:v>
      </x:c>
      <x:c r="C51" s="279" t="str">
        <x:v>Sheet-authoritative story checkpoints, completion, Map state, and current location.</x:v>
      </x:c>
      <x:c r="D51" s="270"/>
      <x:c r="E51" s="270"/>
      <x:c r="F51" s="270"/>
      <x:c r="G51" s="270"/>
      <x:c r="H51" s="270"/>
      <x:c r="I51" s="270"/>
      <x:c r="J51" s="270"/>
    </x:row>
    <x:row r="52">
      <x:c r="A52" s="292" t="n">
        <x:v>26</x:v>
      </x:c>
      <x:c r="B52" s="293" t="str">
        <x:v>25_PLAYER_KEYS</x:v>
      </x:c>
      <x:c r="C52" s="279" t="str">
        <x:v>Sheet-authoritative found, spent, and available key inventory.</x:v>
      </x:c>
      <x:c r="D52" s="270"/>
      <x:c r="E52" s="270"/>
      <x:c r="F52" s="270"/>
      <x:c r="G52" s="270"/>
      <x:c r="H52" s="270"/>
      <x:c r="I52" s="270"/>
      <x:c r="J52" s="270"/>
    </x:row>
    <x:row r="53">
      <x:c r="A53" s="292" t="n">
        <x:v>27</x:v>
      </x:c>
      <x:c r="B53" s="293" t="str">
        <x:v>26_PLAYER_ACHIEV</x:v>
      </x:c>
      <x:c r="C53" s="279" t="str">
        <x:v>Per-user achievement progress, unlock, claim, and reward state.</x:v>
      </x:c>
      <x:c r="D53" s="270"/>
      <x:c r="E53" s="270"/>
      <x:c r="F53" s="270"/>
      <x:c r="G53" s="270"/>
      <x:c r="H53" s="270"/>
      <x:c r="I53" s="270"/>
      <x:c r="J53" s="270"/>
    </x:row>
    <x:row r="54">
      <x:c r="A54" s="292" t="n">
        <x:v>28</x:v>
      </x:c>
      <x:c r="B54" s="293" t="str">
        <x:v>27_PLAYER_MESSAGES</x:v>
      </x:c>
      <x:c r="C54" s="279" t="str">
        <x:v>Delivery, read, archive, translation, voice, and gift status per message.</x:v>
      </x:c>
      <x:c r="D54" s="270"/>
      <x:c r="E54" s="270"/>
      <x:c r="F54" s="270"/>
      <x:c r="G54" s="270"/>
      <x:c r="H54" s="270"/>
      <x:c r="I54" s="270"/>
      <x:c r="J54" s="270"/>
    </x:row>
    <x:row r="55">
      <x:c r="A55" s="292" t="n">
        <x:v>29</x:v>
      </x:c>
      <x:c r="B55" s="293" t="str">
        <x:v>28_FARM_CROPS</x:v>
      </x:c>
      <x:c r="C55" s="279" t="str">
        <x:v>Sheet-driven crop durations, watering, wilt, rain, yield, and rarity.</x:v>
      </x:c>
      <x:c r="D55" s="270"/>
      <x:c r="E55" s="270"/>
      <x:c r="F55" s="270"/>
      <x:c r="G55" s="270"/>
      <x:c r="H55" s="270"/>
      <x:c r="I55" s="270"/>
      <x:c r="J55" s="270"/>
    </x:row>
    <x:row r="56">
      <x:c r="A56" s="292" t="n">
        <x:v>30</x:v>
      </x:c>
      <x:c r="B56" s="293" t="str">
        <x:v>29_PLAYER_FARM</x:v>
      </x:c>
      <x:c r="C56" s="279" t="str">
        <x:v>Per-plot planting, watering, ready, wilt, and harvest state.</x:v>
      </x:c>
      <x:c r="D56" s="270"/>
      <x:c r="E56" s="270"/>
      <x:c r="F56" s="270"/>
      <x:c r="G56" s="270"/>
      <x:c r="H56" s="270"/>
      <x:c r="I56" s="270"/>
      <x:c r="J56" s="270"/>
    </x:row>
    <x:row r="57">
      <x:c r="A57" s="292" t="n">
        <x:v>31</x:v>
      </x:c>
      <x:c r="B57" s="293" t="str">
        <x:v>30_CHURCH_CONTENT</x:v>
      </x:c>
      <x:c r="C57" s="279" t="str">
        <x:v>Reviewed dated verses, stories, images, narration, and sources.</x:v>
      </x:c>
      <x:c r="D57" s="270"/>
      <x:c r="E57" s="270"/>
      <x:c r="F57" s="270"/>
      <x:c r="G57" s="270"/>
      <x:c r="H57" s="270"/>
      <x:c r="I57" s="270"/>
      <x:c r="J57" s="270"/>
    </x:row>
    <x:row r="58">
      <x:c r="A58" s="292" t="n">
        <x:v>32</x:v>
      </x:c>
      <x:c r="B58" s="293" t="str">
        <x:v>31_CHURCH_QUIZ</x:v>
      </x:c>
      <x:c r="C58" s="279" t="str">
        <x:v>Reviewed multiple-choice and true/false Bible quiz bank.</x:v>
      </x:c>
      <x:c r="D58" s="270"/>
      <x:c r="E58" s="270"/>
      <x:c r="F58" s="270"/>
      <x:c r="G58" s="270"/>
      <x:c r="H58" s="270"/>
      <x:c r="I58" s="270"/>
      <x:c r="J58" s="270"/>
    </x:row>
    <x:row r="59">
      <x:c r="A59" s="292" t="n">
        <x:v>33</x:v>
      </x:c>
      <x:c r="B59" s="293" t="str">
        <x:v>32_ARCADE_GAMES</x:v>
      </x:c>
      <x:c r="C59" s="279" t="str">
        <x:v>Cabinets, game family, unlock, adaptive difficulty, scoring, and audio rules.</x:v>
      </x:c>
      <x:c r="D59" s="270"/>
      <x:c r="E59" s="270"/>
      <x:c r="F59" s="270"/>
      <x:c r="G59" s="270"/>
      <x:c r="H59" s="270"/>
      <x:c r="I59" s="270"/>
      <x:c r="J59" s="270"/>
    </x:row>
    <x:row r="60">
      <x:c r="A60" s="292" t="n">
        <x:v>34</x:v>
      </x:c>
      <x:c r="B60" s="293" t="str">
        <x:v>33_PLAYER_SCORES</x:v>
      </x:c>
      <x:c r="C60" s="279" t="str">
        <x:v>Arcade attempts, adaptive difficulty, personal bests, and rewards.</x:v>
      </x:c>
      <x:c r="D60" s="270"/>
      <x:c r="E60" s="270"/>
      <x:c r="F60" s="270"/>
      <x:c r="G60" s="270"/>
      <x:c r="H60" s="270"/>
      <x:c r="I60" s="270"/>
      <x:c r="J60" s="270"/>
    </x:row>
    <x:row r="61">
      <x:c r="A61" s="292" t="n">
        <x:v>35</x:v>
      </x:c>
      <x:c r="B61" s="293" t="str">
        <x:v>34_MUSEUM_EXHIBITS</x:v>
      </x:c>
      <x:c r="C61" s="279" t="str">
        <x:v>Everkeep exhibits, wings, sources, unlocks, media, and personal access.</x:v>
      </x:c>
      <x:c r="D61" s="270"/>
      <x:c r="E61" s="270"/>
      <x:c r="F61" s="270"/>
      <x:c r="G61" s="270"/>
      <x:c r="H61" s="270"/>
      <x:c r="I61" s="270"/>
      <x:c r="J61" s="270"/>
    </x:row>
    <x:row r="62">
      <x:c r="A62" s="292" t="n">
        <x:v>36</x:v>
      </x:c>
      <x:c r="B62" s="293" t="str">
        <x:v>35_PLAYER_EXHIBITS</x:v>
      </x:c>
      <x:c r="C62" s="279" t="str">
        <x:v>Per-user exhibit unlock, view, book progress, and completion.</x:v>
      </x:c>
      <x:c r="D62" s="270"/>
      <x:c r="E62" s="270"/>
      <x:c r="F62" s="270"/>
      <x:c r="G62" s="270"/>
      <x:c r="H62" s="270"/>
      <x:c r="I62" s="270"/>
      <x:c r="J62" s="270"/>
    </x:row>
    <x:row r="63">
      <x:c r="A63" s="292" t="n">
        <x:v>37</x:v>
      </x:c>
      <x:c r="B63" s="293" t="str">
        <x:v>36_CHARACTERS</x:v>
      </x:c>
      <x:c r="C63" s="279" t="str">
        <x:v>Canonical VAR and Marcelino identity, behavior, dialogue, and home settings.</x:v>
      </x:c>
      <x:c r="D63" s="270"/>
      <x:c r="E63" s="270"/>
      <x:c r="F63" s="270"/>
      <x:c r="G63" s="270"/>
      <x:c r="H63" s="270"/>
      <x:c r="I63" s="270"/>
      <x:c r="J63" s="270"/>
    </x:row>
    <x:row r="64">
      <x:c r="A64" s="292" t="n">
        <x:v>38</x:v>
      </x:c>
      <x:c r="B64" s="293" t="str">
        <x:v>37_CHARACTER_STATE</x:v>
      </x:c>
      <x:c r="C64" s="279" t="str">
        <x:v>Per-user character names, gender, mood, location, learning, and story flags.</x:v>
      </x:c>
      <x:c r="D64" s="270"/>
      <x:c r="E64" s="270"/>
      <x:c r="F64" s="270"/>
      <x:c r="G64" s="270"/>
      <x:c r="H64" s="270"/>
      <x:c r="I64" s="270"/>
      <x:c r="J64" s="270"/>
    </x:row>
    <x:row r="65">
      <x:c r="A65" s="292" t="n">
        <x:v>39</x:v>
      </x:c>
      <x:c r="B65" s="293" t="str">
        <x:v>39_VALIDATION_LISTS</x:v>
      </x:c>
      <x:c r="C65" s="279" t="str">
        <x:v>Central values used for validation and Admin consistency.</x:v>
      </x:c>
      <x:c r="D65" s="270"/>
      <x:c r="E65" s="270"/>
      <x:c r="F65" s="270"/>
      <x:c r="G65" s="270"/>
      <x:c r="H65" s="270"/>
      <x:c r="I65" s="270"/>
      <x:c r="J65" s="270"/>
    </x:row>
    <x:row r="66">
      <x:c r="A66" s="294" t="n">
        <x:v>40</x:v>
      </x:c>
      <x:c r="B66" s="295" t="str">
        <x:v>38_DATA_DICTIONARY</x:v>
      </x:c>
      <x:c r="C66" s="286" t="str">
        <x:v>Definition and ownership of every tab</x:v>
      </x:c>
      <x:c r="D66" s="270"/>
      <x:c r="E66" s="270"/>
      <x:c r="F66" s="270"/>
      <x:c r="G66" s="270"/>
      <x:c r="H66" s="270"/>
      <x:c r="I66" s="270"/>
      <x:c r="J66" s="270"/>
    </x:row>
    <x:row r="67">
      <x:c r="A67" s="270" t="n">
        <x:v>41</x:v>
      </x:c>
      <x:c r="B67" s="270" t="str">
        <x:v>40_VAR_CONVERSATIONS</x:v>
      </x:c>
      <x:c r="C67" s="270" t="str">
        <x:v>Append-only full VAR chat archive, Gemini interaction chain IDs, model usage, and delivery status.</x:v>
      </x:c>
      <x:c r="D67" s="270"/>
      <x:c r="E67" s="270"/>
      <x:c r="F67" s="270"/>
      <x:c r="G67" s="270"/>
      <x:c r="H67" s="270"/>
      <x:c r="I67" s="270"/>
      <x:c r="J67" s="270"/>
    </x:row>
    <x:row r="68">
      <x:c r="A68" s="270" t="n">
        <x:v>42</x:v>
      </x:c>
      <x:c r="B68" s="270" t="str">
        <x:v>41_VAR_MEMORIES</x:v>
      </x:c>
      <x:c r="C68" s="270" t="str">
        <x:v>Durable cross-session VAR memories extracted from approved conversations and controlled by Admin.</x:v>
      </x:c>
      <x:c r="D68" s="270"/>
      <x:c r="E68" s="270"/>
      <x:c r="F68" s="270"/>
      <x:c r="G68" s="270"/>
      <x:c r="H68" s="270"/>
      <x:c r="I68" s="270"/>
      <x:c r="J68" s="270"/>
    </x:row>
    <x:row r="69">
      <x:c r="A69" s="270"/>
      <x:c r="B69" s="270"/>
      <x:c r="C69" s="270"/>
      <x:c r="D69" s="270"/>
      <x:c r="E69" s="270"/>
      <x:c r="F69" s="270"/>
      <x:c r="G69" s="270"/>
      <x:c r="H69" s="270"/>
      <x:c r="I69" s="270"/>
      <x:c r="J69" s="270"/>
    </x:row>
    <x:row r="70">
      <x:c r="A70" s="270"/>
      <x:c r="B70" s="270"/>
      <x:c r="C70" s="270"/>
      <x:c r="D70" s="270"/>
      <x:c r="E70" s="270"/>
      <x:c r="F70" s="270"/>
      <x:c r="G70" s="270"/>
      <x:c r="H70" s="270"/>
      <x:c r="I70" s="270"/>
      <x:c r="J70" s="270"/>
    </x:row>
  </x:sheetData>
  <x:mergeCells>
    <x:mergeCell ref="A1:J2"/>
    <x:mergeCell ref="A3:J3"/>
    <x:mergeCell ref="A10:J10"/>
    <x:mergeCell ref="D11:J11"/>
    <x:mergeCell ref="D12:J15"/>
    <x:mergeCell ref="D17:J17"/>
    <x:mergeCell ref="A26:J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34" hidden="0" customWidth="1"/>
    <x:col min="5" max="5" width="16" hidden="0" customWidth="1"/>
    <x:col min="6" max="6" width="16" hidden="0" customWidth="1"/>
  </x:cols>
  <x:sheetData>
    <x:row r="1" ht="34" customHeight="1">
      <x:c r="A1" s="11" t="str">
        <x:v>config_key</x:v>
      </x:c>
      <x:c r="B1" s="12" t="str">
        <x:v>value</x:v>
      </x:c>
      <x:c r="C1" s="12" t="str">
        <x:v>value_type</x:v>
      </x:c>
      <x:c r="D1" s="12" t="str">
        <x:v>description</x:v>
      </x:c>
      <x:c r="E1" s="12" t="str">
        <x:v>enabled</x:v>
      </x:c>
      <x:c r="F1" s="13" t="str">
        <x:v>restart_required</x:v>
      </x:c>
    </x:row>
    <x:row r="2">
      <x:c r="A2" s="40" t="str">
        <x:v>app_name</x:v>
      </x:c>
      <x:c r="B2" s="41" t="str">
        <x:v>Veoulla's World</x:v>
      </x:c>
      <x:c r="C2" s="41" t="str">
        <x:v>text</x:v>
      </x:c>
      <x:c r="D2" s="41" t="str">
        <x:v>Public world title</x:v>
      </x:c>
      <x:c r="E2" s="42" t="b">
        <x:v>1</x:v>
      </x:c>
      <x:c r="F2" s="43" t="b">
        <x:v>0</x:v>
      </x:c>
    </x:row>
    <x:row r="3">
      <x:c r="A3" s="44" t="str">
        <x:v>default_language</x:v>
      </x:c>
      <x:c r="B3" s="45" t="str">
        <x:v>en</x:v>
      </x:c>
      <x:c r="C3" s="45" t="str">
        <x:v>locale</x:v>
      </x:c>
      <x:c r="D3" s="45" t="str">
        <x:v>Initial language on first open</x:v>
      </x:c>
      <x:c r="E3" s="46" t="b">
        <x:v>1</x:v>
      </x:c>
      <x:c r="F3" s="47" t="b">
        <x:v>0</x:v>
      </x:c>
    </x:row>
    <x:row r="4">
      <x:c r="A4" s="44" t="str">
        <x:v>supported_languages</x:v>
      </x:c>
      <x:c r="B4" s="45" t="str">
        <x:v>en,ar-EG,it,el,fr</x:v>
      </x:c>
      <x:c r="C4" s="45" t="str">
        <x:v>csv</x:v>
      </x:c>
      <x:c r="D4" s="45" t="str">
        <x:v>Enabled locales</x:v>
      </x:c>
      <x:c r="E4" s="46" t="b">
        <x:v>1</x:v>
      </x:c>
      <x:c r="F4" s="47" t="b">
        <x:v>0</x:v>
      </x:c>
    </x:row>
    <x:row r="5">
      <x:c r="A5" s="44" t="str">
        <x:v>authoritative_time_zone</x:v>
      </x:c>
      <x:c r="B5" s="45" t="str">
        <x:v>Africa/Cairo</x:v>
      </x:c>
      <x:c r="C5" s="45" t="str">
        <x:v>timezone</x:v>
      </x:c>
      <x:c r="D5" s="45" t="str">
        <x:v>Default event timezone</x:v>
      </x:c>
      <x:c r="E5" s="46" t="b">
        <x:v>1</x:v>
      </x:c>
      <x:c r="F5" s="47" t="b">
        <x:v>0</x:v>
      </x:c>
    </x:row>
    <x:row r="6">
      <x:c r="A6" s="44" t="str">
        <x:v>normal_start_location</x:v>
      </x:c>
      <x:c r="B6" s="45" t="str">
        <x:v>cottage</x:v>
      </x:c>
      <x:c r="C6" s="45" t="str">
        <x:v>location_id</x:v>
      </x:c>
      <x:c r="D6" s="45" t="str">
        <x:v>Start location after first journey</x:v>
      </x:c>
      <x:c r="E6" s="46" t="b">
        <x:v>1</x:v>
      </x:c>
      <x:c r="F6" s="47" t="b">
        <x:v>0</x:v>
      </x:c>
    </x:row>
    <x:row r="7">
      <x:c r="A7" s="44" t="str">
        <x:v>sheet_refresh_seconds</x:v>
      </x:c>
      <x:c r="B7" s="45" t="n">
        <x:v>60</x:v>
      </x:c>
      <x:c r="C7" s="45" t="str">
        <x:v>integer</x:v>
      </x:c>
      <x:c r="D7" s="45" t="str">
        <x:v>Client configuration refresh interval</x:v>
      </x:c>
      <x:c r="E7" s="46" t="b">
        <x:v>1</x:v>
      </x:c>
      <x:c r="F7" s="47" t="b">
        <x:v>0</x:v>
      </x:c>
    </x:row>
    <x:row r="8">
      <x:c r="A8" s="44" t="str">
        <x:v>voiceover_enabled</x:v>
      </x:c>
      <x:c r="B8" s="46" t="b">
        <x:v>1</x:v>
      </x:c>
      <x:c r="C8" s="45" t="str">
        <x:v>boolean</x:v>
      </x:c>
      <x:c r="D8" s="45" t="str">
        <x:v>Master voice-over switch</x:v>
      </x:c>
      <x:c r="E8" s="46" t="b">
        <x:v>1</x:v>
      </x:c>
      <x:c r="F8" s="47" t="b">
        <x:v>0</x:v>
      </x:c>
    </x:row>
    <x:row r="9">
      <x:c r="A9" s="44" t="str">
        <x:v>real_weather_enabled</x:v>
      </x:c>
      <x:c r="B9" s="46" t="b">
        <x:v>1</x:v>
      </x:c>
      <x:c r="C9" s="45" t="str">
        <x:v>boolean</x:v>
      </x:c>
      <x:c r="D9" s="45" t="str">
        <x:v>Enable real + scheduled weather</x:v>
      </x:c>
      <x:c r="E9" s="46" t="b">
        <x:v>1</x:v>
      </x:c>
      <x:c r="F9" s="47" t="b">
        <x:v>0</x:v>
      </x:c>
    </x:row>
    <x:row r="10">
      <x:c r="A10" s="44" t="str">
        <x:v>admin_time_override_enabled</x:v>
      </x:c>
      <x:c r="B10" s="46" t="b">
        <x:v>0</x:v>
      </x:c>
      <x:c r="C10" s="45" t="str">
        <x:v>boolean</x:v>
      </x:c>
      <x:c r="D10" s="45" t="str">
        <x:v>Use Admin simulated time</x:v>
      </x:c>
      <x:c r="E10" s="46" t="b">
        <x:v>1</x:v>
      </x:c>
      <x:c r="F10" s="47" t="b">
        <x:v>0</x:v>
      </x:c>
    </x:row>
    <x:row r="11">
      <x:c r="A11" s="44" t="str">
        <x:v>current_story_version</x:v>
      </x:c>
      <x:c r="B11" s="45" t="str">
        <x:v>first_journey_v1</x:v>
      </x:c>
      <x:c r="C11" s="45" t="str">
        <x:v>id</x:v>
      </x:c>
      <x:c r="D11" s="45" t="str">
        <x:v>Active story content version</x:v>
      </x:c>
      <x:c r="E11" s="46" t="b">
        <x:v>1</x:v>
      </x:c>
      <x:c r="F11" s="47" t="b">
        <x:v>0</x:v>
      </x:c>
    </x:row>
    <x:row r="12">
      <x:c r="A12" s="48" t="str">
        <x:v>current_event_id</x:v>
      </x:c>
      <x:c r="B12" s="49" t="str">
        <x:v>birthday_2026</x:v>
      </x:c>
      <x:c r="C12" s="49" t="str">
        <x:v>event_id</x:v>
      </x:c>
      <x:c r="D12" s="49" t="str">
        <x:v>Primary configured event</x:v>
      </x:c>
      <x:c r="E12" s="50" t="b">
        <x:v>1</x:v>
      </x:c>
      <x:c r="F12" s="51" t="b">
        <x:v>0</x:v>
      </x:c>
    </x:row>
    <x:row r="13">
      <x:c r="A13" t="str">
        <x:v>media_provider</x:v>
      </x:c>
      <x:c r="B13" t="str">
        <x:v>google_drive</x:v>
      </x:c>
      <x:c r="C13" t="str">
        <x:v>text</x:v>
      </x:c>
      <x:c r="D13" t="str">
        <x:v>Approved media origin; Firebase Storage is disabled</x:v>
      </x:c>
      <x:c r="E13" s="1" t="b">
        <x:v>1</x:v>
      </x:c>
      <x:c r="F13" s="1" t="b">
        <x:v>0</x:v>
      </x:c>
    </x:row>
    <x:row r="14">
      <x:c r="A14" t="str">
        <x:v>drive_root_folder_id</x:v>
      </x:c>
      <x:c r="B14" t="str">
        <x:v>&lt;PASTE_DRIVE_FOLDER_ID&gt;</x:v>
      </x:c>
      <x:c r="C14" t="str">
        <x:v>drive_folder_id</x:v>
      </x:c>
      <x:c r="D14" t="str">
        <x:v>Root of Veoullas World Assets</x:v>
      </x:c>
      <x:c r="E14" s="1" t="b">
        <x:v>1</x:v>
      </x:c>
      <x:c r="F14" s="1" t="b">
        <x:v>0</x:v>
      </x:c>
    </x:row>
    <x:row r="15">
      <x:c r="A15" t="str">
        <x:v>gemini_model</x:v>
      </x:c>
      <x:c r="B15" t="str">
        <x:v>&lt;SET_GEMINI_MODEL_ID&gt;</x:v>
      </x:c>
      <x:c r="C15" t="str">
        <x:v>model_id</x:v>
      </x:c>
      <x:c r="D15" t="str">
        <x:v>Active Gemini model for optional VAR conversation</x:v>
      </x:c>
      <x:c r="E15" s="1" t="b">
        <x:v>1</x:v>
      </x:c>
      <x:c r="F15" s="1" t="b">
        <x:v>0</x:v>
      </x:c>
    </x:row>
    <x:row r="16">
      <x:c r="A16" t="str">
        <x:v>gemini_history_mode</x:v>
      </x:c>
      <x:c r="B16" t="str">
        <x:v>interactions_plus_sheet</x:v>
      </x:c>
      <x:c r="C16" t="str">
        <x:v>text</x:v>
      </x:c>
      <x:c r="D16" t="str">
        <x:v>Gemini active-chain history plus durable Sheet archive</x:v>
      </x:c>
      <x:c r="E16" s="1" t="b">
        <x:v>1</x:v>
      </x:c>
      <x:c r="F16" s="1" t="b">
        <x:v>0</x:v>
      </x:c>
    </x:row>
    <x:row r="17">
      <x:c r="A17" t="str">
        <x:v>gemini_store_interactions</x:v>
      </x:c>
      <x:c r="B17" s="1" t="b">
        <x:v>1</x:v>
      </x:c>
      <x:c r="C17" t="str">
        <x:v>boolean</x:v>
      </x:c>
      <x:c r="D17" t="str">
        <x:v>Allow Gemini Interactions API to retain the active chain</x:v>
      </x:c>
      <x:c r="E17" s="1" t="b">
        <x:v>1</x:v>
      </x:c>
      <x:c r="F17" s="1" t="b">
        <x:v>0</x:v>
      </x:c>
    </x:row>
    <x:row r="18">
      <x:c r="A18" t="str">
        <x:v>var_full_chat_archive_enabled</x:v>
      </x:c>
      <x:c r="B18" s="1" t="b">
        <x:v>1</x:v>
      </x:c>
      <x:c r="C18" t="str">
        <x:v>boolean</x:v>
      </x:c>
      <x:c r="D18" t="str">
        <x:v>Append every user and VAR turn to 40_VAR_CONVERSATIONS</x:v>
      </x:c>
      <x:c r="E18" s="1" t="b">
        <x:v>1</x:v>
      </x:c>
      <x:c r="F18" s="1" t="b">
        <x:v>0</x:v>
      </x:c>
    </x:row>
  </x:sheetData>
  <x:conditionalFormatting sqref="E2:E5000">
    <x:cfRule type="cellIs" dxfId="0" priority="1" operator="equal">
      <x:formula>FALSE</x:formula>
    </x:cfRule>
    <x:cfRule type="cellIs" dxfId="1" priority="2" operator="equal">
      <x:formula>TRUE</x:formula>
    </x:cfRule>
  </x:conditionalFormatting>
  <x:dataValidations count="1">
    <x:dataValidation type="list" sqref="E2:F2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ea0e481cf00403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3" hidden="0" customWidth="1"/>
    <x:col min="9" max="9" width="23" hidden="0" customWidth="1"/>
    <x:col min="10" max="10" width="34" hidden="0" customWidth="1"/>
  </x:cols>
  <x:sheetData>
    <x:row r="1" ht="34" customHeight="1">
      <x:c r="A1" s="57" t="str">
        <x:v>user_id</x:v>
      </x:c>
      <x:c r="B1" s="58" t="str">
        <x:v>display_name</x:v>
      </x:c>
      <x:c r="C1" s="58" t="str">
        <x:v>role</x:v>
      </x:c>
      <x:c r="D1" s="58" t="str">
        <x:v>gate_code_plaintext</x:v>
      </x:c>
      <x:c r="E1" s="58" t="str">
        <x:v>admin_password_plaintext</x:v>
      </x:c>
      <x:c r="F1" s="58" t="str">
        <x:v>active</x:v>
      </x:c>
      <x:c r="G1" s="58" t="str">
        <x:v>default_language</x:v>
      </x:c>
      <x:c r="H1" s="58" t="str">
        <x:v>first_login_at</x:v>
      </x:c>
      <x:c r="I1" s="58" t="str">
        <x:v>last_login_at</x:v>
      </x:c>
      <x:c r="J1" s="59" t="str">
        <x:v>notes</x:v>
      </x:c>
    </x:row>
    <x:row r="2">
      <x:c r="A2" s="78" t="str">
        <x:v>veoulla</x:v>
      </x:c>
      <x:c r="B2" s="79" t="str">
        <x:v>Veoulla</x:v>
      </x:c>
      <x:c r="C2" s="79" t="str">
        <x:v>owner</x:v>
      </x:c>
      <x:c r="D2" s="79" t="str">
        <x:v>&lt;SET_ACTIVE_GATE_CODE&gt;</x:v>
      </x:c>
      <x:c r="E2" s="79" t="str"/>
      <x:c r="F2" s="80" t="b">
        <x:v>1</x:v>
      </x:c>
      <x:c r="G2" s="79" t="str">
        <x:v>en</x:v>
      </x:c>
      <x:c r="H2" s="79" t="str"/>
      <x:c r="I2" s="79" t="str"/>
      <x:c r="J2" s="81" t="str">
        <x:v>Primary world owner</x:v>
      </x:c>
    </x:row>
    <x:row r="3">
      <x:c r="A3" s="82" t="str">
        <x:v>admin_ahmed</x:v>
      </x:c>
      <x:c r="B3" s="83" t="str">
        <x:v>Ahmed</x:v>
      </x:c>
      <x:c r="C3" s="83" t="str">
        <x:v>admin</x:v>
      </x:c>
      <x:c r="D3" s="83" t="str"/>
      <x:c r="E3" s="83" t="str">
        <x:v>&lt;SET_ADMIN_PASSWORD&gt;</x:v>
      </x:c>
      <x:c r="F3" s="84" t="b">
        <x:v>1</x:v>
      </x:c>
      <x:c r="G3" s="83" t="str">
        <x:v>en</x:v>
      </x:c>
      <x:c r="H3" s="83" t="str"/>
      <x:c r="I3" s="83" t="str"/>
      <x:c r="J3" s="85" t="str">
        <x:v>Separate Admin login</x:v>
      </x:c>
    </x:row>
  </x:sheetData>
  <x:dataValidations count="2">
    <x:dataValidation type="list" sqref="C2:C100">
      <x:formula1>"owner,admin,guest"</x:formula1>
    </x:dataValidation>
    <x:dataValidation type="list" sqref="F2:F100">
      <x:formula1>"TRUE,FALSE"</x:formula1>
    </x:dataValidation>
  </x:dataValidations>
  <x:pageMargins left="0.7" right="0.7" top="0.75" bottom="0.75" header="0.3" footer="0.3"/>
  <x:legacyDrawing xmlns:r="http://schemas.openxmlformats.org/officeDocument/2006/relationships" r:id="Rfa275124de2d4f15"/>
  <x:tableParts count="1">
    <x:tablePart xmlns:r="http://schemas.openxmlformats.org/officeDocument/2006/relationships" r:id="R71e405ab90c24f9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23" hidden="0" customWidth="1"/>
    <x:col min="8" max="8" width="34" hidden="0" customWidth="1"/>
  </x:cols>
  <x:sheetData>
    <x:row r="1" ht="34" customHeight="1">
      <x:c r="A1" s="57" t="str">
        <x:v>secret_id</x:v>
      </x:c>
      <x:c r="B1" s="58" t="str">
        <x:v>service_name</x:v>
      </x:c>
      <x:c r="C1" s="58" t="str">
        <x:v>key_name</x:v>
      </x:c>
      <x:c r="D1" s="58" t="str">
        <x:v>plaintext_value</x:v>
      </x:c>
      <x:c r="E1" s="58" t="str">
        <x:v>environment</x:v>
      </x:c>
      <x:c r="F1" s="58" t="str">
        <x:v>enabled</x:v>
      </x:c>
      <x:c r="G1" s="58" t="str">
        <x:v>last_updated_at</x:v>
      </x:c>
      <x:c r="H1" s="59" t="str">
        <x:v>notes</x:v>
      </x:c>
    </x:row>
    <x:row r="2">
      <x:c r="A2" s="78" t="str">
        <x:v>sec_gemini</x:v>
      </x:c>
      <x:c r="B2" s="79" t="str">
        <x:v>Google Gemini API</x:v>
      </x:c>
      <x:c r="C2" s="79" t="str">
        <x:v>AUTHORIZATION_KEY</x:v>
      </x:c>
      <x:c r="D2" s="79" t="str">
        <x:v>&lt;PASTE_GEMINI_AUTHORIZATION_KEY&gt;</x:v>
      </x:c>
      <x:c r="E2" s="79" t="str">
        <x:v>prototype</x:v>
      </x:c>
      <x:c r="F2" s="80" t="b">
        <x:v>0</x:v>
      </x:c>
      <x:c r="G2" s="79"/>
      <x:c r="H2" s="81" t="str">
        <x:v>Owned by Ahmed's second Google account; backend only</x:v>
      </x:c>
    </x:row>
    <x:row r="3">
      <x:c r="A3" s="94" t="str">
        <x:v>sec_weather</x:v>
      </x:c>
      <x:c r="B3" s="95" t="str">
        <x:v>Weather Provider</x:v>
      </x:c>
      <x:c r="C3" s="95" t="str">
        <x:v>API_KEY</x:v>
      </x:c>
      <x:c r="D3" s="95" t="str">
        <x:v>&lt;PASTE_WEATHER_API_KEY&gt;</x:v>
      </x:c>
      <x:c r="E3" s="95" t="str">
        <x:v>prototype</x:v>
      </x:c>
      <x:c r="F3" s="96" t="b">
        <x:v>0</x:v>
      </x:c>
      <x:c r="G3" s="95"/>
      <x:c r="H3" s="97" t="str">
        <x:v>Provider selected later</x:v>
      </x:c>
    </x:row>
    <x:row r="4">
      <x:c r="A4" s="94" t="str">
        <x:v>sec_tts</x:v>
      </x:c>
      <x:c r="B4" s="95" t="str">
        <x:v>Voice Provider</x:v>
      </x:c>
      <x:c r="C4" s="95" t="str">
        <x:v>API_KEY</x:v>
      </x:c>
      <x:c r="D4" s="95" t="str">
        <x:v>&lt;PASTE_TTS_API_KEY&gt;</x:v>
      </x:c>
      <x:c r="E4" s="95" t="str">
        <x:v>prototype</x:v>
      </x:c>
      <x:c r="F4" s="96" t="b">
        <x:v>0</x:v>
      </x:c>
      <x:c r="G4" s="95"/>
      <x:c r="H4" s="97" t="str">
        <x:v>Only if generated voice is selected</x:v>
      </x:c>
    </x:row>
    <x:row r="5">
      <x:c r="A5" s="82"/>
      <x:c r="B5" s="83"/>
      <x:c r="C5" s="83"/>
      <x:c r="D5" s="83"/>
      <x:c r="E5" s="83"/>
      <x:c r="F5" s="83"/>
      <x:c r="G5" s="83"/>
      <x:c r="H5" s="85"/>
    </x:row>
  </x:sheetData>
  <x:conditionalFormatting sqref="F2:F5000">
    <x:cfRule type="cellIs" dxfId="2" priority="1" operator="equal">
      <x:formula>FALSE</x:formula>
    </x:cfRule>
    <x:cfRule type="cellIs" dxfId="3" priority="2" operator="equal">
      <x:formula>TRUE</x:formula>
    </x:cfRule>
  </x:conditionalFormatting>
  <x:pageMargins left="0.7" right="0.7" top="0.75" bottom="0.75" header="0.3" footer="0.3"/>
  <x:legacyDrawing xmlns:r="http://schemas.openxmlformats.org/officeDocument/2006/relationships" r:id="R89a08d349d6f4913"/>
  <x:tableParts count="1">
    <x:tablePart xmlns:r="http://schemas.openxmlformats.org/officeDocument/2006/relationships" r:id="Ra0d01918bafd44c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23" hidden="0" customWidth="1"/>
    <x:col min="8" max="8" width="23" hidden="0" customWidth="1"/>
    <x:col min="9" max="9" width="34" hidden="0" customWidth="1"/>
  </x:cols>
  <x:sheetData>
    <x:row r="1" ht="34" customHeight="1">
      <x:c r="A1" s="11" t="str">
        <x:v>flag_id</x:v>
      </x:c>
      <x:c r="B1" s="12" t="str">
        <x:v>scope</x:v>
      </x:c>
      <x:c r="C1" s="12" t="str">
        <x:v>target_user_id</x:v>
      </x:c>
      <x:c r="D1" s="12" t="str">
        <x:v>value</x:v>
      </x:c>
      <x:c r="E1" s="12" t="str">
        <x:v>value_type</x:v>
      </x:c>
      <x:c r="F1" s="12" t="str">
        <x:v>enabled</x:v>
      </x:c>
      <x:c r="G1" s="12" t="str">
        <x:v>updated_at</x:v>
      </x:c>
      <x:c r="H1" s="12" t="str">
        <x:v>updated_by</x:v>
      </x:c>
      <x:c r="I1" s="13" t="str">
        <x:v>notes</x:v>
      </x:c>
    </x:row>
    <x:row r="2">
      <x:c r="A2" s="40" t="str">
        <x:v>force_first_journey</x:v>
      </x:c>
      <x:c r="B2" s="41" t="str">
        <x:v>user</x:v>
      </x:c>
      <x:c r="C2" s="41" t="str">
        <x:v>veoulla</x:v>
      </x:c>
      <x:c r="D2" s="41" t="n">
        <x:v>0</x:v>
      </x:c>
      <x:c r="E2" s="41" t="str">
        <x:v>boolean_int</x:v>
      </x:c>
      <x:c r="F2" s="42" t="b">
        <x:v>1</x:v>
      </x:c>
      <x:c r="G2" s="41" t="str"/>
      <x:c r="H2" s="41" t="str">
        <x:v>admin_ahmed</x:v>
      </x:c>
      <x:c r="I2" s="104" t="str">
        <x:v>Set 1 to force first journey once</x:v>
      </x:c>
    </x:row>
    <x:row r="3">
      <x:c r="A3" s="44" t="str">
        <x:v>force_birthday_story</x:v>
      </x:c>
      <x:c r="B3" s="45" t="str">
        <x:v>user</x:v>
      </x:c>
      <x:c r="C3" s="45" t="str">
        <x:v>veoulla</x:v>
      </x:c>
      <x:c r="D3" s="45" t="n">
        <x:v>0</x:v>
      </x:c>
      <x:c r="E3" s="45" t="str">
        <x:v>boolean_int</x:v>
      </x:c>
      <x:c r="F3" s="46" t="b">
        <x:v>1</x:v>
      </x:c>
      <x:c r="G3" s="45" t="str"/>
      <x:c r="H3" s="45" t="str">
        <x:v>admin_ahmed</x:v>
      </x:c>
      <x:c r="I3" s="105" t="str">
        <x:v>Set 1 to replay birthday story</x:v>
      </x:c>
    </x:row>
    <x:row r="4">
      <x:c r="A4" s="44" t="str">
        <x:v>forced_phase_id</x:v>
      </x:c>
      <x:c r="B4" s="45" t="str">
        <x:v>event</x:v>
      </x:c>
      <x:c r="C4" s="45" t="str">
        <x:v>veoulla</x:v>
      </x:c>
      <x:c r="D4" s="45" t="str"/>
      <x:c r="E4" s="45" t="str">
        <x:v>phase_id</x:v>
      </x:c>
      <x:c r="F4" s="46" t="b">
        <x:v>1</x:v>
      </x:c>
      <x:c r="G4" s="45" t="str"/>
      <x:c r="H4" s="45" t="str">
        <x:v>admin_ahmed</x:v>
      </x:c>
      <x:c r="I4" s="105" t="str">
        <x:v>Test any event phase</x:v>
      </x:c>
    </x:row>
    <x:row r="5">
      <x:c r="A5" s="44" t="str">
        <x:v>event_time_override</x:v>
      </x:c>
      <x:c r="B5" s="45" t="str">
        <x:v>global</x:v>
      </x:c>
      <x:c r="C5" s="45" t="str"/>
      <x:c r="D5" s="45" t="str"/>
      <x:c r="E5" s="45" t="str">
        <x:v>iso_datetime</x:v>
      </x:c>
      <x:c r="F5" s="46" t="b">
        <x:v>0</x:v>
      </x:c>
      <x:c r="G5" s="45" t="str"/>
      <x:c r="H5" s="45" t="str">
        <x:v>admin_ahmed</x:v>
      </x:c>
      <x:c r="I5" s="105" t="str">
        <x:v>Simulate authoritative time</x:v>
      </x:c>
    </x:row>
    <x:row r="6">
      <x:c r="A6" s="44" t="str">
        <x:v>enable_var_ai</x:v>
      </x:c>
      <x:c r="B6" s="45" t="str">
        <x:v>global</x:v>
      </x:c>
      <x:c r="C6" s="45" t="str"/>
      <x:c r="D6" s="45" t="n">
        <x:v>0</x:v>
      </x:c>
      <x:c r="E6" s="45" t="str">
        <x:v>boolean_int</x:v>
      </x:c>
      <x:c r="F6" s="46" t="b">
        <x:v>1</x:v>
      </x:c>
      <x:c r="G6" s="45" t="str"/>
      <x:c r="H6" s="45" t="str">
        <x:v>admin_ahmed</x:v>
      </x:c>
      <x:c r="I6" s="105" t="str">
        <x:v>Prototype AI master switch</x:v>
      </x:c>
    </x:row>
    <x:row r="7">
      <x:c r="A7" s="48" t="str">
        <x:v>maintenance_mode</x:v>
      </x:c>
      <x:c r="B7" s="49" t="str">
        <x:v>global</x:v>
      </x:c>
      <x:c r="C7" s="49" t="str"/>
      <x:c r="D7" s="49" t="n">
        <x:v>0</x:v>
      </x:c>
      <x:c r="E7" s="49" t="str">
        <x:v>boolean_int</x:v>
      </x:c>
      <x:c r="F7" s="50" t="b">
        <x:v>1</x:v>
      </x:c>
      <x:c r="G7" s="49" t="str"/>
      <x:c r="H7" s="49" t="str">
        <x:v>admin_ahmed</x:v>
      </x:c>
      <x:c r="I7" s="106" t="str">
        <x:v>Display maintenance screen</x:v>
      </x:c>
    </x:row>
  </x:sheetData>
  <x:conditionalFormatting sqref="F2:F5000">
    <x:cfRule type="cellIs" dxfId="4" priority="1" operator="equal">
      <x:formula>FALSE</x:formula>
    </x:cfRule>
    <x:cfRule type="cellIs" dxfId="5" priority="2" operator="equal">
      <x:formula>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c72f86663134e5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3" hidden="0" customWidth="1"/>
    <x:col min="3" max="3" width="24" hidden="0" customWidth="1"/>
    <x:col min="4" max="4" width="2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4" hidden="0" customWidth="1"/>
    <x:col min="10" max="10" width="16" hidden="0" customWidth="1"/>
    <x:col min="11" max="11" width="16" hidden="0" customWidth="1"/>
    <x:col min="12" max="12" width="34" hidden="0" customWidth="1"/>
  </x:cols>
  <x:sheetData>
    <x:row r="1" ht="34" customHeight="1">
      <x:c r="A1" s="11" t="str">
        <x:v>log_id</x:v>
      </x:c>
      <x:c r="B1" s="12" t="str">
        <x:v>timestamp</x:v>
      </x:c>
      <x:c r="C1" s="12" t="str">
        <x:v>user_id</x:v>
      </x:c>
      <x:c r="D1" s="12" t="str">
        <x:v>session_id</x:v>
      </x:c>
      <x:c r="E1" s="12" t="str">
        <x:v>event_type</x:v>
      </x:c>
      <x:c r="F1" s="12" t="str">
        <x:v>access_result</x:v>
      </x:c>
      <x:c r="G1" s="12" t="str">
        <x:v>ip_address</x:v>
      </x:c>
      <x:c r="H1" s="12" t="str">
        <x:v>user_agent</x:v>
      </x:c>
      <x:c r="I1" s="12" t="str">
        <x:v>device_id</x:v>
      </x:c>
      <x:c r="J1" s="12" t="str">
        <x:v>language</x:v>
      </x:c>
      <x:c r="K1" s="12" t="str">
        <x:v>route</x:v>
      </x:c>
      <x:c r="L1" s="13" t="str">
        <x:v>details_json</x:v>
      </x:c>
    </x:row>
    <x:row r="2">
      <x:c r="A2" s="40" t="str">
        <x:v>log_sample_001</x:v>
      </x:c>
      <x:c r="B2" s="41" t="n">
        <x:v>46269.166666666664</x:v>
      </x:c>
      <x:c r="C2" s="41" t="str">
        <x:v>veoulla</x:v>
      </x:c>
      <x:c r="D2" s="41" t="str">
        <x:v>sess_sample_001</x:v>
      </x:c>
      <x:c r="E2" s="41" t="str">
        <x:v>page_open</x:v>
      </x:c>
      <x:c r="F2" s="41" t="str">
        <x:v>pending</x:v>
      </x:c>
      <x:c r="G2" s="41" t="str">
        <x:v>203.0.113.10</x:v>
      </x:c>
      <x:c r="H2" s="41" t="str">
        <x:v>Sample Browser</x:v>
      </x:c>
      <x:c r="I2" s="41" t="str">
        <x:v>device_sample_001</x:v>
      </x:c>
      <x:c r="J2" s="41" t="str">
        <x:v>en</x:v>
      </x:c>
      <x:c r="K2" s="41" t="str">
        <x:v>/</x:v>
      </x:c>
      <x:c r="L2" s="104" t="str">
        <x:v>{}</x:v>
      </x:c>
    </x:row>
    <x:row r="3">
      <x:c r="A3" s="48" t="str">
        <x:v>log_sample_002</x:v>
      </x:c>
      <x:c r="B3" s="49" t="n">
        <x:v>46269.166712962964</x:v>
      </x:c>
      <x:c r="C3" s="49" t="str">
        <x:v>veoulla</x:v>
      </x:c>
      <x:c r="D3" s="49" t="str">
        <x:v>sess_sample_001</x:v>
      </x:c>
      <x:c r="E3" s="49" t="str">
        <x:v>gate_success</x:v>
      </x:c>
      <x:c r="F3" s="49" t="str">
        <x:v>success</x:v>
      </x:c>
      <x:c r="G3" s="49" t="str">
        <x:v>203.0.113.10</x:v>
      </x:c>
      <x:c r="H3" s="49" t="str">
        <x:v>Sample Browser</x:v>
      </x:c>
      <x:c r="I3" s="49" t="str">
        <x:v>device_sample_001</x:v>
      </x:c>
      <x:c r="J3" s="49" t="str">
        <x:v>en</x:v>
      </x:c>
      <x:c r="K3" s="49" t="str">
        <x:v>/gate</x:v>
      </x:c>
      <x:c r="L3" s="106" t="str">
        <x:v>{"code_version":"gate_v1"}</x:v>
      </x:c>
    </x:row>
  </x:sheetData>
  <x:pageMargins left="0.7" right="0.7" top="0.75" bottom="0.75" header="0.3" footer="0.3"/>
  <x:tableParts count="1">
    <x:tablePart xmlns:r="http://schemas.openxmlformats.org/officeDocument/2006/relationships" r:id="R743fbc7939e646b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3" hidden="0" customWidth="1"/>
    <x:col min="4" max="4" width="23" hidden="0" customWidth="1"/>
    <x:col min="5" max="5" width="23" hidden="0" customWidth="1"/>
    <x:col min="6" max="6" width="16" hidden="0" customWidth="1"/>
    <x:col min="7" max="7" width="24" hidden="0" customWidth="1"/>
    <x:col min="8" max="8" width="16" hidden="0" customWidth="1"/>
    <x:col min="9" max="9" width="24" hidden="0" customWidth="1"/>
    <x:col min="10" max="10" width="16" hidden="0" customWidth="1"/>
    <x:col min="11" max="11" width="16" hidden="0" customWidth="1"/>
  </x:cols>
  <x:sheetData>
    <x:row r="1" ht="34" customHeight="1">
      <x:c r="A1" s="11" t="str">
        <x:v>session_id</x:v>
      </x:c>
      <x:c r="B1" s="12" t="str">
        <x:v>user_id</x:v>
      </x:c>
      <x:c r="C1" s="12" t="str">
        <x:v>created_at</x:v>
      </x:c>
      <x:c r="D1" s="12" t="str">
        <x:v>last_seen_at</x:v>
      </x:c>
      <x:c r="E1" s="12" t="str">
        <x:v>expires_at</x:v>
      </x:c>
      <x:c r="F1" s="12" t="str">
        <x:v>ip_address</x:v>
      </x:c>
      <x:c r="G1" s="12" t="str">
        <x:v>device_id</x:v>
      </x:c>
      <x:c r="H1" s="12" t="str">
        <x:v>status</x:v>
      </x:c>
      <x:c r="I1" s="12" t="str">
        <x:v>gate_code_id</x:v>
      </x:c>
      <x:c r="J1" s="12" t="str">
        <x:v>current_location</x:v>
      </x:c>
      <x:c r="K1" s="13" t="str">
        <x:v>current_story_beat</x:v>
      </x:c>
    </x:row>
    <x:row r="2">
      <x:c r="A2" s="113" t="str">
        <x:v>sess_sample_001</x:v>
      </x:c>
      <x:c r="B2" s="114" t="str">
        <x:v>veoulla</x:v>
      </x:c>
      <x:c r="C2" s="114" t="n">
        <x:v>46269.166666666664</x:v>
      </x:c>
      <x:c r="D2" s="114" t="n">
        <x:v>46269.17013888889</x:v>
      </x:c>
      <x:c r="E2" s="114" t="n">
        <x:v>46270.166666666664</x:v>
      </x:c>
      <x:c r="F2" s="114" t="str">
        <x:v>203.0.113.10</x:v>
      </x:c>
      <x:c r="G2" s="114" t="str">
        <x:v>device_sample_001</x:v>
      </x:c>
      <x:c r="H2" s="114" t="str">
        <x:v>active</x:v>
      </x:c>
      <x:c r="I2" s="114" t="str">
        <x:v>gate_v1</x:v>
      </x:c>
      <x:c r="J2" s="114" t="str">
        <x:v>gate</x:v>
      </x:c>
      <x:c r="K2" s="115" t="str">
        <x:v>beat_02_gate</x:v>
      </x:c>
    </x:row>
  </x:sheetData>
  <x:pageMargins left="0.7" right="0.7" top="0.75" bottom="0.75" header="0.3" footer="0.3"/>
  <x:tableParts count="1">
    <x:tablePart xmlns:r="http://schemas.openxmlformats.org/officeDocument/2006/relationships" r:id="R177369fc26874a6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24" hidden="0" customWidth="1"/>
    <x:col min="4" max="4" width="2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34" customHeight="1">
      <x:c r="A1" s="11" t="str">
        <x:v>locale_id</x:v>
      </x:c>
      <x:c r="B1" s="12" t="str">
        <x:v>short_code</x:v>
      </x:c>
      <x:c r="C1" s="12" t="str">
        <x:v>english_name</x:v>
      </x:c>
      <x:c r="D1" s="12" t="str">
        <x:v>native_name</x:v>
      </x:c>
      <x:c r="E1" s="12" t="str">
        <x:v>direction</x:v>
      </x:c>
      <x:c r="F1" s="12" t="str">
        <x:v>fallback_locale</x:v>
      </x:c>
      <x:c r="G1" s="12" t="str">
        <x:v>enabled</x:v>
      </x:c>
      <x:c r="H1" s="12" t="str">
        <x:v>sort_order</x:v>
      </x:c>
      <x:c r="I1" s="12" t="str">
        <x:v>voice_locale</x:v>
      </x:c>
      <x:c r="J1" s="13" t="str">
        <x:v>number_locale</x:v>
      </x:c>
    </x:row>
    <x:row r="2">
      <x:c r="A2" s="40" t="str">
        <x:v>en</x:v>
      </x:c>
      <x:c r="B2" s="41" t="str">
        <x:v>EN</x:v>
      </x:c>
      <x:c r="C2" s="41" t="str">
        <x:v>English</x:v>
      </x:c>
      <x:c r="D2" s="41" t="str">
        <x:v>English</x:v>
      </x:c>
      <x:c r="E2" s="41" t="str">
        <x:v>ltr</x:v>
      </x:c>
      <x:c r="F2" s="41" t="str"/>
      <x:c r="G2" s="42" t="b">
        <x:v>1</x:v>
      </x:c>
      <x:c r="H2" s="41" t="n">
        <x:v>1</x:v>
      </x:c>
      <x:c r="I2" s="41" t="str">
        <x:v>en-US</x:v>
      </x:c>
      <x:c r="J2" s="104" t="str">
        <x:v>en-US</x:v>
      </x:c>
    </x:row>
    <x:row r="3">
      <x:c r="A3" s="44" t="str">
        <x:v>ar-EG</x:v>
      </x:c>
      <x:c r="B3" s="45" t="str">
        <x:v>AR</x:v>
      </x:c>
      <x:c r="C3" s="45" t="str">
        <x:v>Egyptian Arabic</x:v>
      </x:c>
      <x:c r="D3" s="45" t="str">
        <x:v>العربية المصرية</x:v>
      </x:c>
      <x:c r="E3" s="45" t="str">
        <x:v>rtl</x:v>
      </x:c>
      <x:c r="F3" s="45" t="str">
        <x:v>en</x:v>
      </x:c>
      <x:c r="G3" s="46" t="b">
        <x:v>1</x:v>
      </x:c>
      <x:c r="H3" s="45" t="n">
        <x:v>2</x:v>
      </x:c>
      <x:c r="I3" s="45" t="str">
        <x:v>ar-EG</x:v>
      </x:c>
      <x:c r="J3" s="105" t="str">
        <x:v>ar-EG</x:v>
      </x:c>
    </x:row>
    <x:row r="4">
      <x:c r="A4" s="44" t="str">
        <x:v>it</x:v>
      </x:c>
      <x:c r="B4" s="45" t="str">
        <x:v>IT</x:v>
      </x:c>
      <x:c r="C4" s="45" t="str">
        <x:v>Italian</x:v>
      </x:c>
      <x:c r="D4" s="45" t="str">
        <x:v>Italiano</x:v>
      </x:c>
      <x:c r="E4" s="45" t="str">
        <x:v>ltr</x:v>
      </x:c>
      <x:c r="F4" s="45" t="str">
        <x:v>en</x:v>
      </x:c>
      <x:c r="G4" s="46" t="b">
        <x:v>1</x:v>
      </x:c>
      <x:c r="H4" s="45" t="n">
        <x:v>3</x:v>
      </x:c>
      <x:c r="I4" s="45" t="str">
        <x:v>it-IT</x:v>
      </x:c>
      <x:c r="J4" s="105" t="str">
        <x:v>it-IT</x:v>
      </x:c>
    </x:row>
    <x:row r="5">
      <x:c r="A5" s="44" t="str">
        <x:v>el</x:v>
      </x:c>
      <x:c r="B5" s="45" t="str">
        <x:v>EL</x:v>
      </x:c>
      <x:c r="C5" s="45" t="str">
        <x:v>Greek</x:v>
      </x:c>
      <x:c r="D5" s="45" t="str">
        <x:v>Ελληνικά</x:v>
      </x:c>
      <x:c r="E5" s="45" t="str">
        <x:v>ltr</x:v>
      </x:c>
      <x:c r="F5" s="45" t="str">
        <x:v>en</x:v>
      </x:c>
      <x:c r="G5" s="46" t="b">
        <x:v>1</x:v>
      </x:c>
      <x:c r="H5" s="45" t="n">
        <x:v>4</x:v>
      </x:c>
      <x:c r="I5" s="45" t="str">
        <x:v>el-GR</x:v>
      </x:c>
      <x:c r="J5" s="105" t="str">
        <x:v>el-GR</x:v>
      </x:c>
    </x:row>
    <x:row r="6">
      <x:c r="A6" s="48" t="str">
        <x:v>fr</x:v>
      </x:c>
      <x:c r="B6" s="49" t="str">
        <x:v>FR</x:v>
      </x:c>
      <x:c r="C6" s="49" t="str">
        <x:v>French</x:v>
      </x:c>
      <x:c r="D6" s="49" t="str">
        <x:v>Français</x:v>
      </x:c>
      <x:c r="E6" s="49" t="str">
        <x:v>ltr</x:v>
      </x:c>
      <x:c r="F6" s="49" t="str">
        <x:v>en</x:v>
      </x:c>
      <x:c r="G6" s="50" t="b">
        <x:v>1</x:v>
      </x:c>
      <x:c r="H6" s="49" t="n">
        <x:v>5</x:v>
      </x:c>
      <x:c r="I6" s="49" t="str">
        <x:v>fr-FR</x:v>
      </x:c>
      <x:c r="J6" s="106" t="str">
        <x:v>fr-FR</x:v>
      </x:c>
    </x:row>
  </x:sheetData>
  <x:conditionalFormatting sqref="G2:G5000">
    <x:cfRule type="cellIs" dxfId="6" priority="1" operator="equal">
      <x:formula>FALSE</x:formula>
    </x:cfRule>
    <x:cfRule type="cellIs" dxfId="7" priority="2" operator="equal">
      <x:formula>TRUE</x:formula>
    </x:cfRule>
  </x:conditionalFormatting>
  <x:dataValidations count="1">
    <x:dataValidation type="list" sqref="E2:E20">
      <x:formula1>"ltr,rtl"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0e209e8ad42485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16" hidden="0" customWidth="1"/>
    <x:col min="6" max="6" width="38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34" customHeight="1">
      <x:c r="A1" s="11" t="str">
        <x:v>ui_text_row_id</x:v>
      </x:c>
      <x:c r="B1" s="12" t="str">
        <x:v>text_id</x:v>
      </x:c>
      <x:c r="C1" s="12" t="str">
        <x:v>screen_id</x:v>
      </x:c>
      <x:c r="D1" s="12" t="str">
        <x:v>component_id</x:v>
      </x:c>
      <x:c r="E1" s="12" t="str">
        <x:v>locale</x:v>
      </x:c>
      <x:c r="F1" s="12" t="str">
        <x:v>text</x:v>
      </x:c>
      <x:c r="G1" s="12" t="str">
        <x:v>direction</x:v>
      </x:c>
      <x:c r="H1" s="12" t="str">
        <x:v>aria_label</x:v>
      </x:c>
      <x:c r="I1" s="12" t="str">
        <x:v>enabled</x:v>
      </x:c>
      <x:c r="J1" s="13" t="str">
        <x:v>version</x:v>
      </x:c>
    </x:row>
    <x:row r="2">
      <x:c r="A2" s="40" t="str">
        <x:v>ui_enter_en</x:v>
      </x:c>
      <x:c r="B2" s="41" t="str">
        <x:v>ui_enter</x:v>
      </x:c>
      <x:c r="C2" s="41" t="str">
        <x:v>gate</x:v>
      </x:c>
      <x:c r="D2" s="41" t="str">
        <x:v>enter_button</x:v>
      </x:c>
      <x:c r="E2" s="41" t="str">
        <x:v>en</x:v>
      </x:c>
      <x:c r="F2" s="41" t="str">
        <x:v>Enter</x:v>
      </x:c>
      <x:c r="G2" s="41" t="str">
        <x:v>ltr</x:v>
      </x:c>
      <x:c r="H2" s="41" t="str">
        <x:v>Enter Veoulla's World</x:v>
      </x:c>
      <x:c r="I2" s="42" t="b">
        <x:v>1</x:v>
      </x:c>
      <x:c r="J2" s="104" t="n">
        <x:v>1</x:v>
      </x:c>
    </x:row>
    <x:row r="3">
      <x:c r="A3" s="44" t="str">
        <x:v>ui_enter_ar</x:v>
      </x:c>
      <x:c r="B3" s="45" t="str">
        <x:v>ui_enter</x:v>
      </x:c>
      <x:c r="C3" s="45" t="str">
        <x:v>gate</x:v>
      </x:c>
      <x:c r="D3" s="45" t="str">
        <x:v>enter_button</x:v>
      </x:c>
      <x:c r="E3" s="45" t="str">
        <x:v>ar-EG</x:v>
      </x:c>
      <x:c r="F3" s="45" t="str">
        <x:v>ادخلي</x:v>
      </x:c>
      <x:c r="G3" s="45" t="str">
        <x:v>rtl</x:v>
      </x:c>
      <x:c r="H3" s="45" t="str">
        <x:v>الدخول إلى عالم فيولا</x:v>
      </x:c>
      <x:c r="I3" s="46" t="b">
        <x:v>1</x:v>
      </x:c>
      <x:c r="J3" s="105" t="n">
        <x:v>1</x:v>
      </x:c>
    </x:row>
    <x:row r="4">
      <x:c r="A4" s="44" t="str">
        <x:v>ui_enter_it</x:v>
      </x:c>
      <x:c r="B4" s="45" t="str">
        <x:v>ui_enter</x:v>
      </x:c>
      <x:c r="C4" s="45" t="str">
        <x:v>gate</x:v>
      </x:c>
      <x:c r="D4" s="45" t="str">
        <x:v>enter_button</x:v>
      </x:c>
      <x:c r="E4" s="45" t="str">
        <x:v>it</x:v>
      </x:c>
      <x:c r="F4" s="45" t="str">
        <x:v>Entra</x:v>
      </x:c>
      <x:c r="G4" s="45" t="str">
        <x:v>ltr</x:v>
      </x:c>
      <x:c r="H4" s="45" t="str">
        <x:v>Entra nel mondo di Veoulla</x:v>
      </x:c>
      <x:c r="I4" s="46" t="b">
        <x:v>1</x:v>
      </x:c>
      <x:c r="J4" s="105" t="n">
        <x:v>1</x:v>
      </x:c>
    </x:row>
    <x:row r="5">
      <x:c r="A5" s="44" t="str">
        <x:v>ui_enter_el</x:v>
      </x:c>
      <x:c r="B5" s="45" t="str">
        <x:v>ui_enter</x:v>
      </x:c>
      <x:c r="C5" s="45" t="str">
        <x:v>gate</x:v>
      </x:c>
      <x:c r="D5" s="45" t="str">
        <x:v>enter_button</x:v>
      </x:c>
      <x:c r="E5" s="45" t="str">
        <x:v>el</x:v>
      </x:c>
      <x:c r="F5" s="45" t="str">
        <x:v>Είσοδος</x:v>
      </x:c>
      <x:c r="G5" s="45" t="str">
        <x:v>ltr</x:v>
      </x:c>
      <x:c r="H5" s="45" t="str">
        <x:v>Μπες στον κόσμο της Veoulla</x:v>
      </x:c>
      <x:c r="I5" s="46" t="b">
        <x:v>1</x:v>
      </x:c>
      <x:c r="J5" s="105" t="n">
        <x:v>1</x:v>
      </x:c>
    </x:row>
    <x:row r="6">
      <x:c r="A6" s="44" t="str">
        <x:v>ui_enter_fr</x:v>
      </x:c>
      <x:c r="B6" s="45" t="str">
        <x:v>ui_enter</x:v>
      </x:c>
      <x:c r="C6" s="45" t="str">
        <x:v>gate</x:v>
      </x:c>
      <x:c r="D6" s="45" t="str">
        <x:v>enter_button</x:v>
      </x:c>
      <x:c r="E6" s="45" t="str">
        <x:v>fr</x:v>
      </x:c>
      <x:c r="F6" s="45" t="str">
        <x:v>Entrer</x:v>
      </x:c>
      <x:c r="G6" s="45" t="str">
        <x:v>ltr</x:v>
      </x:c>
      <x:c r="H6" s="45" t="str">
        <x:v>Entrer dans le monde de Veoulla</x:v>
      </x:c>
      <x:c r="I6" s="46" t="b">
        <x:v>1</x:v>
      </x:c>
      <x:c r="J6" s="105" t="n">
        <x:v>1</x:v>
      </x:c>
    </x:row>
    <x:row r="7">
      <x:c r="A7" s="44" t="str">
        <x:v>ui_map_en</x:v>
      </x:c>
      <x:c r="B7" s="45" t="str">
        <x:v>ui_map</x:v>
      </x:c>
      <x:c r="C7" s="45" t="str">
        <x:v>global</x:v>
      </x:c>
      <x:c r="D7" s="45" t="str">
        <x:v>map_button</x:v>
      </x:c>
      <x:c r="E7" s="45" t="str">
        <x:v>en</x:v>
      </x:c>
      <x:c r="F7" s="45" t="str">
        <x:v>Map</x:v>
      </x:c>
      <x:c r="G7" s="45" t="str">
        <x:v>ltr</x:v>
      </x:c>
      <x:c r="H7" s="45" t="str">
        <x:v>Open map</x:v>
      </x:c>
      <x:c r="I7" s="46" t="b">
        <x:v>1</x:v>
      </x:c>
      <x:c r="J7" s="105" t="n">
        <x:v>1</x:v>
      </x:c>
    </x:row>
    <x:row r="8">
      <x:c r="A8" s="48" t="str">
        <x:v>ui_map_ar</x:v>
      </x:c>
      <x:c r="B8" s="49" t="str">
        <x:v>ui_map</x:v>
      </x:c>
      <x:c r="C8" s="49" t="str">
        <x:v>global</x:v>
      </x:c>
      <x:c r="D8" s="49" t="str">
        <x:v>map_button</x:v>
      </x:c>
      <x:c r="E8" s="49" t="str">
        <x:v>ar-EG</x:v>
      </x:c>
      <x:c r="F8" s="49" t="str">
        <x:v>الخريطة</x:v>
      </x:c>
      <x:c r="G8" s="49" t="str">
        <x:v>rtl</x:v>
      </x:c>
      <x:c r="H8" s="49" t="str">
        <x:v>فتح الخريطة</x:v>
      </x:c>
      <x:c r="I8" s="50" t="b">
        <x:v>1</x:v>
      </x:c>
      <x:c r="J8" s="106" t="n">
        <x:v>1</x:v>
      </x:c>
    </x:row>
  </x:sheetData>
  <x:conditionalFormatting sqref="I2:I5000">
    <x:cfRule type="cellIs" dxfId="8" priority="1" operator="equal">
      <x:formula>FALSE</x:formula>
    </x:cfRule>
    <x:cfRule type="cellIs" dxfId="9" priority="2" operator="equal">
      <x:formula>TRUE</x:formula>
    </x:cfRule>
  </x:conditionalFormatting>
  <x:dataValidations count="1">
    <x:dataValidation type="list" sqref="G2:G5000">
      <x:formula1>"ltr,rtl"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fb910c9e6624c2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24" hidden="0" customWidth="1"/>
    <x:col min="4" max="4" width="32" hidden="0" customWidth="1"/>
    <x:col min="5" max="5" width="16" hidden="0" customWidth="1"/>
    <x:col min="6" max="6" width="16" hidden="0" customWidth="1"/>
    <x:col min="7" max="7" width="24" hidden="0" customWidth="1"/>
    <x:col min="8" max="8" width="24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34" customHeight="1">
      <x:c r="A1" s="11" t="str">
        <x:v>icon_id</x:v>
      </x:c>
      <x:c r="B1" s="12" t="str">
        <x:v>category</x:v>
      </x:c>
      <x:c r="C1" s="12" t="str">
        <x:v>display_name</x:v>
      </x:c>
      <x:c r="D1" s="12" t="str">
        <x:v>asset_id</x:v>
      </x:c>
      <x:c r="E1" s="12" t="str">
        <x:v>format</x:v>
      </x:c>
      <x:c r="F1" s="12" t="str">
        <x:v>rtl_mirror</x:v>
      </x:c>
      <x:c r="G1" s="12" t="str">
        <x:v>alt_text_id</x:v>
      </x:c>
      <x:c r="H1" s="12" t="str">
        <x:v>width_px</x:v>
      </x:c>
      <x:c r="I1" s="12" t="str">
        <x:v>height_px</x:v>
      </x:c>
      <x:c r="J1" s="12" t="str">
        <x:v>enabled</x:v>
      </x:c>
      <x:c r="K1" s="13" t="str">
        <x:v>version</x:v>
      </x:c>
    </x:row>
    <x:row r="2">
      <x:c r="A2" s="40" t="str">
        <x:v>icon_map</x:v>
      </x:c>
      <x:c r="B2" s="41" t="str">
        <x:v>ui</x:v>
      </x:c>
      <x:c r="C2" s="41" t="str">
        <x:v>Map</x:v>
      </x:c>
      <x:c r="D2" s="41" t="str">
        <x:v>asset_icon_map</x:v>
      </x:c>
      <x:c r="E2" s="41" t="str">
        <x:v>svg</x:v>
      </x:c>
      <x:c r="F2" s="42" t="b">
        <x:v>0</x:v>
      </x:c>
      <x:c r="G2" s="41" t="str">
        <x:v>ui_map</x:v>
      </x:c>
      <x:c r="H2" s="41" t="n">
        <x:v>48</x:v>
      </x:c>
      <x:c r="I2" s="41" t="n">
        <x:v>48</x:v>
      </x:c>
      <x:c r="J2" s="42" t="b">
        <x:v>1</x:v>
      </x:c>
      <x:c r="K2" s="104" t="n">
        <x:v>1</x:v>
      </x:c>
    </x:row>
    <x:row r="3">
      <x:c r="A3" s="44" t="str">
        <x:v>icon_language</x:v>
      </x:c>
      <x:c r="B3" s="45" t="str">
        <x:v>ui</x:v>
      </x:c>
      <x:c r="C3" s="45" t="str">
        <x:v>Language</x:v>
      </x:c>
      <x:c r="D3" s="45" t="str">
        <x:v>asset_icon_language</x:v>
      </x:c>
      <x:c r="E3" s="45" t="str">
        <x:v>svg</x:v>
      </x:c>
      <x:c r="F3" s="46" t="b">
        <x:v>0</x:v>
      </x:c>
      <x:c r="G3" s="45" t="str">
        <x:v>ui_language</x:v>
      </x:c>
      <x:c r="H3" s="45" t="n">
        <x:v>48</x:v>
      </x:c>
      <x:c r="I3" s="45" t="n">
        <x:v>48</x:v>
      </x:c>
      <x:c r="J3" s="46" t="b">
        <x:v>1</x:v>
      </x:c>
      <x:c r="K3" s="105" t="n">
        <x:v>1</x:v>
      </x:c>
    </x:row>
    <x:row r="4">
      <x:c r="A4" s="44" t="str">
        <x:v>icon_walkman</x:v>
      </x:c>
      <x:c r="B4" s="45" t="str">
        <x:v>ui</x:v>
      </x:c>
      <x:c r="C4" s="45" t="str">
        <x:v>Walkman</x:v>
      </x:c>
      <x:c r="D4" s="45" t="str">
        <x:v>asset_icon_walkman</x:v>
      </x:c>
      <x:c r="E4" s="45" t="str">
        <x:v>svg</x:v>
      </x:c>
      <x:c r="F4" s="46" t="b">
        <x:v>0</x:v>
      </x:c>
      <x:c r="G4" s="45" t="str">
        <x:v>ui_walkman</x:v>
      </x:c>
      <x:c r="H4" s="45" t="n">
        <x:v>48</x:v>
      </x:c>
      <x:c r="I4" s="45" t="n">
        <x:v>48</x:v>
      </x:c>
      <x:c r="J4" s="46" t="b">
        <x:v>1</x:v>
      </x:c>
      <x:c r="K4" s="105" t="n">
        <x:v>1</x:v>
      </x:c>
    </x:row>
    <x:row r="5">
      <x:c r="A5" s="44" t="str">
        <x:v>icon_back</x:v>
      </x:c>
      <x:c r="B5" s="45" t="str">
        <x:v>ui</x:v>
      </x:c>
      <x:c r="C5" s="45" t="str">
        <x:v>Back</x:v>
      </x:c>
      <x:c r="D5" s="45" t="str">
        <x:v>asset_icon_back</x:v>
      </x:c>
      <x:c r="E5" s="45" t="str">
        <x:v>svg</x:v>
      </x:c>
      <x:c r="F5" s="46" t="b">
        <x:v>1</x:v>
      </x:c>
      <x:c r="G5" s="45" t="str">
        <x:v>ui_back</x:v>
      </x:c>
      <x:c r="H5" s="45" t="n">
        <x:v>48</x:v>
      </x:c>
      <x:c r="I5" s="45" t="n">
        <x:v>48</x:v>
      </x:c>
      <x:c r="J5" s="46" t="b">
        <x:v>1</x:v>
      </x:c>
      <x:c r="K5" s="105" t="n">
        <x:v>1</x:v>
      </x:c>
    </x:row>
    <x:row r="6">
      <x:c r="A6" s="44" t="str">
        <x:v>key_shell_icon</x:v>
      </x:c>
      <x:c r="B6" s="45" t="str">
        <x:v>key</x:v>
      </x:c>
      <x:c r="C6" s="45" t="str">
        <x:v>Shell Key</x:v>
      </x:c>
      <x:c r="D6" s="45" t="str">
        <x:v>asset_key_shell_icon</x:v>
      </x:c>
      <x:c r="E6" s="45" t="str">
        <x:v>svg</x:v>
      </x:c>
      <x:c r="F6" s="46" t="b">
        <x:v>0</x:v>
      </x:c>
      <x:c r="G6" s="45" t="str">
        <x:v>key_shell_name</x:v>
      </x:c>
      <x:c r="H6" s="45" t="n">
        <x:v>64</x:v>
      </x:c>
      <x:c r="I6" s="45" t="n">
        <x:v>64</x:v>
      </x:c>
      <x:c r="J6" s="46" t="b">
        <x:v>1</x:v>
      </x:c>
      <x:c r="K6" s="105" t="n">
        <x:v>1</x:v>
      </x:c>
    </x:row>
    <x:row r="7">
      <x:c r="A7" s="44" t="str">
        <x:v>key_candle_icon</x:v>
      </x:c>
      <x:c r="B7" s="45" t="str">
        <x:v>key</x:v>
      </x:c>
      <x:c r="C7" s="45" t="str">
        <x:v>Candle Key</x:v>
      </x:c>
      <x:c r="D7" s="45" t="str">
        <x:v>asset_key_candle_icon</x:v>
      </x:c>
      <x:c r="E7" s="45" t="str">
        <x:v>svg</x:v>
      </x:c>
      <x:c r="F7" s="46" t="b">
        <x:v>0</x:v>
      </x:c>
      <x:c r="G7" s="45" t="str">
        <x:v>key_candle_name</x:v>
      </x:c>
      <x:c r="H7" s="45" t="n">
        <x:v>64</x:v>
      </x:c>
      <x:c r="I7" s="45" t="n">
        <x:v>64</x:v>
      </x:c>
      <x:c r="J7" s="46" t="b">
        <x:v>1</x:v>
      </x:c>
      <x:c r="K7" s="105" t="n">
        <x:v>1</x:v>
      </x:c>
    </x:row>
    <x:row r="8">
      <x:c r="A8" s="44" t="str">
        <x:v>key_music_icon</x:v>
      </x:c>
      <x:c r="B8" s="45" t="str">
        <x:v>key</x:v>
      </x:c>
      <x:c r="C8" s="45" t="str">
        <x:v>Music Note Key</x:v>
      </x:c>
      <x:c r="D8" s="45" t="str">
        <x:v>asset_key_music_icon</x:v>
      </x:c>
      <x:c r="E8" s="45" t="str">
        <x:v>svg</x:v>
      </x:c>
      <x:c r="F8" s="46" t="b">
        <x:v>0</x:v>
      </x:c>
      <x:c r="G8" s="45" t="str">
        <x:v>key_music_name</x:v>
      </x:c>
      <x:c r="H8" s="45" t="n">
        <x:v>64</x:v>
      </x:c>
      <x:c r="I8" s="45" t="n">
        <x:v>64</x:v>
      </x:c>
      <x:c r="J8" s="46" t="b">
        <x:v>1</x:v>
      </x:c>
      <x:c r="K8" s="105" t="n">
        <x:v>1</x:v>
      </x:c>
    </x:row>
    <x:row r="9">
      <x:c r="A9" s="44" t="str">
        <x:v>key_token_icon</x:v>
      </x:c>
      <x:c r="B9" s="45" t="str">
        <x:v>key</x:v>
      </x:c>
      <x:c r="C9" s="45" t="str">
        <x:v>Arcade Token</x:v>
      </x:c>
      <x:c r="D9" s="45" t="str">
        <x:v>asset_key_token_icon</x:v>
      </x:c>
      <x:c r="E9" s="45" t="str">
        <x:v>svg</x:v>
      </x:c>
      <x:c r="F9" s="46" t="b">
        <x:v>0</x:v>
      </x:c>
      <x:c r="G9" s="45" t="str">
        <x:v>key_token_name</x:v>
      </x:c>
      <x:c r="H9" s="45" t="n">
        <x:v>64</x:v>
      </x:c>
      <x:c r="I9" s="45" t="n">
        <x:v>64</x:v>
      </x:c>
      <x:c r="J9" s="46" t="b">
        <x:v>1</x:v>
      </x:c>
      <x:c r="K9" s="105" t="n">
        <x:v>1</x:v>
      </x:c>
    </x:row>
    <x:row r="10">
      <x:c r="A10" s="44" t="str">
        <x:v>key_letter_icon</x:v>
      </x:c>
      <x:c r="B10" s="45" t="str">
        <x:v>key</x:v>
      </x:c>
      <x:c r="C10" s="45" t="str">
        <x:v>Letter Key</x:v>
      </x:c>
      <x:c r="D10" s="45" t="str">
        <x:v>asset_key_letter_icon</x:v>
      </x:c>
      <x:c r="E10" s="45" t="str">
        <x:v>svg</x:v>
      </x:c>
      <x:c r="F10" s="46" t="b">
        <x:v>0</x:v>
      </x:c>
      <x:c r="G10" s="45" t="str">
        <x:v>key_letter_name</x:v>
      </x:c>
      <x:c r="H10" s="45" t="n">
        <x:v>64</x:v>
      </x:c>
      <x:c r="I10" s="45" t="n">
        <x:v>64</x:v>
      </x:c>
      <x:c r="J10" s="46" t="b">
        <x:v>1</x:v>
      </x:c>
      <x:c r="K10" s="105" t="n">
        <x:v>1</x:v>
      </x:c>
    </x:row>
    <x:row r="11">
      <x:c r="A11" s="44" t="str">
        <x:v>key_sunflower_icon</x:v>
      </x:c>
      <x:c r="B11" s="45" t="str">
        <x:v>key</x:v>
      </x:c>
      <x:c r="C11" s="45" t="str">
        <x:v>Sunflower Key</x:v>
      </x:c>
      <x:c r="D11" s="45" t="str">
        <x:v>asset_key_sunflower_icon</x:v>
      </x:c>
      <x:c r="E11" s="45" t="str">
        <x:v>svg</x:v>
      </x:c>
      <x:c r="F11" s="46" t="b">
        <x:v>0</x:v>
      </x:c>
      <x:c r="G11" s="45" t="str">
        <x:v>key_sunflower_name</x:v>
      </x:c>
      <x:c r="H11" s="45" t="n">
        <x:v>64</x:v>
      </x:c>
      <x:c r="I11" s="45" t="n">
        <x:v>64</x:v>
      </x:c>
      <x:c r="J11" s="46" t="b">
        <x:v>1</x:v>
      </x:c>
      <x:c r="K11" s="105" t="n">
        <x:v>1</x:v>
      </x:c>
    </x:row>
    <x:row r="12">
      <x:c r="A12" s="48" t="str">
        <x:v>key_everkeep_icon</x:v>
      </x:c>
      <x:c r="B12" s="49" t="str">
        <x:v>key</x:v>
      </x:c>
      <x:c r="C12" s="49" t="str">
        <x:v>Ancient Golden Key</x:v>
      </x:c>
      <x:c r="D12" s="49" t="str">
        <x:v>asset_key_everkeep_icon</x:v>
      </x:c>
      <x:c r="E12" s="49" t="str">
        <x:v>svg</x:v>
      </x:c>
      <x:c r="F12" s="50" t="b">
        <x:v>0</x:v>
      </x:c>
      <x:c r="G12" s="49" t="str">
        <x:v>key_everkeep_name</x:v>
      </x:c>
      <x:c r="H12" s="49" t="n">
        <x:v>64</x:v>
      </x:c>
      <x:c r="I12" s="49" t="n">
        <x:v>64</x:v>
      </x:c>
      <x:c r="J12" s="50" t="b">
        <x:v>1</x:v>
      </x:c>
      <x:c r="K12" s="106" t="n">
        <x:v>1</x:v>
      </x:c>
    </x:row>
  </x:sheetData>
  <x:conditionalFormatting sqref="J2:J5000">
    <x:cfRule type="cellIs" dxfId="10" priority="1" operator="equal">
      <x:formula>FALSE</x:formula>
    </x:cfRule>
    <x:cfRule type="cellIs" dxfId="11" priority="2" operator="equal">
      <x:formula>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17958c35181411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24" hidden="0" customWidth="1"/>
    <x:col min="4" max="4" width="24" hidden="0" customWidth="1"/>
    <x:col min="5" max="5" width="32" hidden="0" customWidth="1"/>
    <x:col min="6" max="6" width="32" hidden="0" customWidth="1"/>
    <x:col min="7" max="7" width="32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34" hidden="0" customWidth="1"/>
  </x:cols>
  <x:sheetData>
    <x:row r="1" ht="34" customHeight="1">
      <x:c r="A1" s="11" t="str">
        <x:v>asset_id</x:v>
      </x:c>
      <x:c r="B1" s="12" t="str">
        <x:v>asset_type</x:v>
      </x:c>
      <x:c r="C1" s="12" t="str">
        <x:v>location_id</x:v>
      </x:c>
      <x:c r="D1" s="12" t="str">
        <x:v>scene_id</x:v>
      </x:c>
      <x:c r="E1" s="12" t="str">
        <x:v>drive_file_id</x:v>
      </x:c>
      <x:c r="F1" s="12" t="str">
        <x:v>mobile_drive_file_id</x:v>
      </x:c>
      <x:c r="G1" s="12" t="str">
        <x:v>poster_drive_file_id</x:v>
      </x:c>
      <x:c r="H1" s="12" t="str">
        <x:v>preload_priority</x:v>
      </x:c>
      <x:c r="I1" s="12" t="str">
        <x:v>loop</x:v>
      </x:c>
      <x:c r="J1" s="12" t="str">
        <x:v>enabled</x:v>
      </x:c>
      <x:c r="K1" s="12" t="str">
        <x:v>version</x:v>
      </x:c>
      <x:c r="L1" s="13" t="str">
        <x:v>notes</x:v>
      </x:c>
    </x:row>
    <x:row r="2">
      <x:c r="A2" s="40" t="str">
        <x:v>asset_gate_bg</x:v>
      </x:c>
      <x:c r="B2" s="41" t="str">
        <x:v>image</x:v>
      </x:c>
      <x:c r="C2" s="41" t="str">
        <x:v>gate</x:v>
      </x:c>
      <x:c r="D2" s="41" t="str">
        <x:v>scene_gate_closed</x:v>
      </x:c>
      <x:c r="E2" s="41" t="str">
        <x:v>&lt;DRIVE_FILE_ID_GATE_DESKTOP&gt;</x:v>
      </x:c>
      <x:c r="F2" s="41" t="str">
        <x:v>&lt;DRIVE_FILE_ID_GATE_MOBILE&gt;</x:v>
      </x:c>
      <x:c r="G2" s="41"/>
      <x:c r="H2" s="41" t="n">
        <x:v>1</x:v>
      </x:c>
      <x:c r="I2" s="42" t="b">
        <x:v>0</x:v>
      </x:c>
      <x:c r="J2" s="42" t="b">
        <x:v>1</x:v>
      </x:c>
      <x:c r="K2" s="41" t="n">
        <x:v>1</x:v>
      </x:c>
      <x:c r="L2" s="104" t="str">
        <x:v>Layered source tracked separately</x:v>
      </x:c>
    </x:row>
    <x:row r="3">
      <x:c r="A3" s="44" t="str">
        <x:v>asset_ocean_loop</x:v>
      </x:c>
      <x:c r="B3" s="45" t="str">
        <x:v>video</x:v>
      </x:c>
      <x:c r="C3" s="45" t="str">
        <x:v>beach</x:v>
      </x:c>
      <x:c r="D3" s="45" t="str">
        <x:v>scene_beach_arrival</x:v>
      </x:c>
      <x:c r="E3" s="45" t="str">
        <x:v>&lt;DRIVE_FILE_ID_OCEAN_DESKTOP&gt;</x:v>
      </x:c>
      <x:c r="F3" s="45" t="str">
        <x:v>&lt;DRIVE_FILE_ID_OCEAN_MOBILE&gt;</x:v>
      </x:c>
      <x:c r="G3" s="45" t="str">
        <x:v>&lt;DRIVE_FILE_ID_OCEAN_POSTER&gt;</x:v>
      </x:c>
      <x:c r="H3" s="45" t="n">
        <x:v>1</x:v>
      </x:c>
      <x:c r="I3" s="46" t="b">
        <x:v>1</x:v>
      </x:c>
      <x:c r="J3" s="46" t="b">
        <x:v>1</x:v>
      </x:c>
      <x:c r="K3" s="45" t="n">
        <x:v>1</x:v>
      </x:c>
      <x:c r="L3" s="105" t="str">
        <x:v>Real ocean video</x:v>
      </x:c>
    </x:row>
    <x:row r="4">
      <x:c r="A4" s="44" t="str">
        <x:v>asset_world_logo</x:v>
      </x:c>
      <x:c r="B4" s="45" t="str">
        <x:v>image</x:v>
      </x:c>
      <x:c r="C4" s="45" t="str">
        <x:v>gate</x:v>
      </x:c>
      <x:c r="D4" s="45" t="str">
        <x:v>scene_boot</x:v>
      </x:c>
      <x:c r="E4" s="45" t="str">
        <x:v>&lt;DRIVE_FILE_ID_WORLD_LOGO&gt;</x:v>
      </x:c>
      <x:c r="F4" s="45" t="str">
        <x:v>&lt;DRIVE_FILE_ID_WORLD_LOGO&gt;</x:v>
      </x:c>
      <x:c r="G4" s="45"/>
      <x:c r="H4" s="45" t="n">
        <x:v>1</x:v>
      </x:c>
      <x:c r="I4" s="46" t="b">
        <x:v>0</x:v>
      </x:c>
      <x:c r="J4" s="46" t="b">
        <x:v>1</x:v>
      </x:c>
      <x:c r="K4" s="45" t="n">
        <x:v>1</x:v>
      </x:c>
      <x:c r="L4" s="105" t="str"/>
    </x:row>
    <x:row r="5">
      <x:c r="A5" s="44" t="str">
        <x:v>asset_map</x:v>
      </x:c>
      <x:c r="B5" s="45" t="str">
        <x:v>image</x:v>
      </x:c>
      <x:c r="C5" s="45" t="str">
        <x:v>map</x:v>
      </x:c>
      <x:c r="D5" s="45" t="str">
        <x:v>scene_map</x:v>
      </x:c>
      <x:c r="E5" s="45" t="str">
        <x:v>&lt;DRIVE_FILE_ID_ISLAND_MAP&gt;</x:v>
      </x:c>
      <x:c r="F5" s="45" t="str">
        <x:v>&lt;DRIVE_FILE_ID_ISLAND_MAP_MOBILE&gt;</x:v>
      </x:c>
      <x:c r="G5" s="45"/>
      <x:c r="H5" s="45" t="n">
        <x:v>1</x:v>
      </x:c>
      <x:c r="I5" s="46" t="b">
        <x:v>0</x:v>
      </x:c>
      <x:c r="J5" s="46" t="b">
        <x:v>1</x:v>
      </x:c>
      <x:c r="K5" s="45" t="n">
        <x:v>1</x:v>
      </x:c>
      <x:c r="L5" s="105" t="str">
        <x:v>Current structural map reference</x:v>
      </x:c>
    </x:row>
    <x:row r="6">
      <x:c r="A6" s="44" t="str">
        <x:v>audio_gate_ambient</x:v>
      </x:c>
      <x:c r="B6" s="45" t="str">
        <x:v>audio</x:v>
      </x:c>
      <x:c r="C6" s="45" t="str">
        <x:v>gate</x:v>
      </x:c>
      <x:c r="D6" s="45" t="str">
        <x:v>scene_gate_closed</x:v>
      </x:c>
      <x:c r="E6" s="45" t="str">
        <x:v>&lt;DRIVE_FILE_ID_GATE_AMBIENT&gt;</x:v>
      </x:c>
      <x:c r="F6" s="45"/>
      <x:c r="G6" s="45"/>
      <x:c r="H6" s="45" t="n">
        <x:v>1</x:v>
      </x:c>
      <x:c r="I6" s="46" t="b">
        <x:v>1</x:v>
      </x:c>
      <x:c r="J6" s="46" t="b">
        <x:v>1</x:v>
      </x:c>
      <x:c r="K6" s="45" t="n">
        <x:v>1</x:v>
      </x:c>
      <x:c r="L6" s="105" t="str"/>
    </x:row>
    <x:row r="7">
      <x:c r="A7" s="48" t="str">
        <x:v>audio_beach_ambient</x:v>
      </x:c>
      <x:c r="B7" s="49" t="str">
        <x:v>audio</x:v>
      </x:c>
      <x:c r="C7" s="49" t="str">
        <x:v>beach</x:v>
      </x:c>
      <x:c r="D7" s="49" t="str">
        <x:v>scene_beach_arrival</x:v>
      </x:c>
      <x:c r="E7" s="49" t="str">
        <x:v>&lt;DRIVE_FILE_ID_BEACH_AMBIENT&gt;</x:v>
      </x:c>
      <x:c r="F7" s="49"/>
      <x:c r="G7" s="49"/>
      <x:c r="H7" s="49" t="n">
        <x:v>1</x:v>
      </x:c>
      <x:c r="I7" s="50" t="b">
        <x:v>1</x:v>
      </x:c>
      <x:c r="J7" s="50" t="b">
        <x:v>1</x:v>
      </x:c>
      <x:c r="K7" s="49" t="n">
        <x:v>1</x:v>
      </x:c>
      <x:c r="L7" s="106" t="str"/>
    </x:row>
    <x:row r="8">
      <x:c r="A8" t="str">
        <x:v>asset_icon_map</x:v>
      </x:c>
      <x:c r="B8" t="str">
        <x:v>svg</x:v>
      </x:c>
      <x:c r="C8"/>
      <x:c r="D8"/>
      <x:c r="E8" t="str">
        <x:v>&lt;DRIVE_FILE_ID_ICON_MAP&gt;</x:v>
      </x:c>
      <x:c r="F8"/>
      <x:c r="G8"/>
      <x:c r="H8" t="n">
        <x:v>1</x:v>
      </x:c>
      <x:c r="I8" s="1" t="b">
        <x:v>0</x:v>
      </x:c>
      <x:c r="J8" s="1" t="b">
        <x:v>1</x:v>
      </x:c>
      <x:c r="K8" t="n">
        <x:v>1</x:v>
      </x:c>
      <x:c r="L8" t="str">
        <x:v>Referenced by 09_ICONS</x:v>
      </x:c>
    </x:row>
    <x:row r="9">
      <x:c r="A9" t="str">
        <x:v>asset_icon_language</x:v>
      </x:c>
      <x:c r="B9" t="str">
        <x:v>svg</x:v>
      </x:c>
      <x:c r="C9"/>
      <x:c r="D9"/>
      <x:c r="E9" t="str">
        <x:v>&lt;DRIVE_FILE_ID_ICON_LANGUAGE&gt;</x:v>
      </x:c>
      <x:c r="F9"/>
      <x:c r="G9"/>
      <x:c r="H9" t="n">
        <x:v>1</x:v>
      </x:c>
      <x:c r="I9" s="1" t="b">
        <x:v>0</x:v>
      </x:c>
      <x:c r="J9" s="1" t="b">
        <x:v>1</x:v>
      </x:c>
      <x:c r="K9" t="n">
        <x:v>1</x:v>
      </x:c>
      <x:c r="L9" t="str">
        <x:v>Referenced by 09_ICONS</x:v>
      </x:c>
    </x:row>
    <x:row r="10">
      <x:c r="A10" t="str">
        <x:v>asset_icon_walkman</x:v>
      </x:c>
      <x:c r="B10" t="str">
        <x:v>svg</x:v>
      </x:c>
      <x:c r="C10"/>
      <x:c r="D10"/>
      <x:c r="E10" t="str">
        <x:v>&lt;DRIVE_FILE_ID_ICON_WALKMAN&gt;</x:v>
      </x:c>
      <x:c r="F10"/>
      <x:c r="G10"/>
      <x:c r="H10" t="n">
        <x:v>1</x:v>
      </x:c>
      <x:c r="I10" s="1" t="b">
        <x:v>0</x:v>
      </x:c>
      <x:c r="J10" s="1" t="b">
        <x:v>1</x:v>
      </x:c>
      <x:c r="K10" t="n">
        <x:v>1</x:v>
      </x:c>
      <x:c r="L10" t="str">
        <x:v>Referenced by 09_ICONS</x:v>
      </x:c>
    </x:row>
    <x:row r="11">
      <x:c r="A11" t="str">
        <x:v>asset_icon_back</x:v>
      </x:c>
      <x:c r="B11" t="str">
        <x:v>svg</x:v>
      </x:c>
      <x:c r="C11"/>
      <x:c r="D11"/>
      <x:c r="E11" t="str">
        <x:v>&lt;DRIVE_FILE_ID_ICON_BACK&gt;</x:v>
      </x:c>
      <x:c r="F11"/>
      <x:c r="G11"/>
      <x:c r="H11" t="n">
        <x:v>1</x:v>
      </x:c>
      <x:c r="I11" s="1" t="b">
        <x:v>0</x:v>
      </x:c>
      <x:c r="J11" s="1" t="b">
        <x:v>1</x:v>
      </x:c>
      <x:c r="K11" t="n">
        <x:v>1</x:v>
      </x:c>
      <x:c r="L11" t="str">
        <x:v>Referenced by 09_ICONS</x:v>
      </x:c>
    </x:row>
    <x:row r="12">
      <x:c r="A12" t="str">
        <x:v>asset_key_shell_icon</x:v>
      </x:c>
      <x:c r="B12" t="str">
        <x:v>svg</x:v>
      </x:c>
      <x:c r="C12"/>
      <x:c r="D12"/>
      <x:c r="E12" t="str">
        <x:v>&lt;DRIVE_FILE_ID_KEY_SHELL_ICON&gt;</x:v>
      </x:c>
      <x:c r="F12"/>
      <x:c r="G12"/>
      <x:c r="H12" t="n">
        <x:v>1</x:v>
      </x:c>
      <x:c r="I12" s="1" t="b">
        <x:v>0</x:v>
      </x:c>
      <x:c r="J12" s="1" t="b">
        <x:v>1</x:v>
      </x:c>
      <x:c r="K12" t="n">
        <x:v>1</x:v>
      </x:c>
      <x:c r="L12" t="str">
        <x:v>Referenced by 09_ICONS</x:v>
      </x:c>
    </x:row>
    <x:row r="13">
      <x:c r="A13" t="str">
        <x:v>asset_key_candle_icon</x:v>
      </x:c>
      <x:c r="B13" t="str">
        <x:v>svg</x:v>
      </x:c>
      <x:c r="C13"/>
      <x:c r="D13"/>
      <x:c r="E13" t="str">
        <x:v>&lt;DRIVE_FILE_ID_KEY_CANDLE_ICON&gt;</x:v>
      </x:c>
      <x:c r="F13"/>
      <x:c r="G13"/>
      <x:c r="H13" t="n">
        <x:v>1</x:v>
      </x:c>
      <x:c r="I13" s="1" t="b">
        <x:v>0</x:v>
      </x:c>
      <x:c r="J13" s="1" t="b">
        <x:v>1</x:v>
      </x:c>
      <x:c r="K13" t="n">
        <x:v>1</x:v>
      </x:c>
      <x:c r="L13" t="str">
        <x:v>Referenced by 09_ICONS</x:v>
      </x:c>
    </x:row>
    <x:row r="14">
      <x:c r="A14" t="str">
        <x:v>asset_key_music_icon</x:v>
      </x:c>
      <x:c r="B14" t="str">
        <x:v>svg</x:v>
      </x:c>
      <x:c r="C14"/>
      <x:c r="D14"/>
      <x:c r="E14" t="str">
        <x:v>&lt;DRIVE_FILE_ID_KEY_MUSIC_ICON&gt;</x:v>
      </x:c>
      <x:c r="F14"/>
      <x:c r="G14"/>
      <x:c r="H14" t="n">
        <x:v>1</x:v>
      </x:c>
      <x:c r="I14" s="1" t="b">
        <x:v>0</x:v>
      </x:c>
      <x:c r="J14" s="1" t="b">
        <x:v>1</x:v>
      </x:c>
      <x:c r="K14" t="n">
        <x:v>1</x:v>
      </x:c>
      <x:c r="L14" t="str">
        <x:v>Referenced by 09_ICONS</x:v>
      </x:c>
    </x:row>
    <x:row r="15">
      <x:c r="A15" t="str">
        <x:v>asset_key_token_icon</x:v>
      </x:c>
      <x:c r="B15" t="str">
        <x:v>svg</x:v>
      </x:c>
      <x:c r="C15"/>
      <x:c r="D15"/>
      <x:c r="E15" t="str">
        <x:v>&lt;DRIVE_FILE_ID_KEY_TOKEN_ICON&gt;</x:v>
      </x:c>
      <x:c r="F15"/>
      <x:c r="G15"/>
      <x:c r="H15" t="n">
        <x:v>1</x:v>
      </x:c>
      <x:c r="I15" s="1" t="b">
        <x:v>0</x:v>
      </x:c>
      <x:c r="J15" s="1" t="b">
        <x:v>1</x:v>
      </x:c>
      <x:c r="K15" t="n">
        <x:v>1</x:v>
      </x:c>
      <x:c r="L15" t="str">
        <x:v>Referenced by 09_ICONS</x:v>
      </x:c>
    </x:row>
    <x:row r="16">
      <x:c r="A16" t="str">
        <x:v>asset_key_letter_icon</x:v>
      </x:c>
      <x:c r="B16" t="str">
        <x:v>svg</x:v>
      </x:c>
      <x:c r="C16"/>
      <x:c r="D16"/>
      <x:c r="E16" t="str">
        <x:v>&lt;DRIVE_FILE_ID_KEY_LETTER_ICON&gt;</x:v>
      </x:c>
      <x:c r="F16"/>
      <x:c r="G16"/>
      <x:c r="H16" t="n">
        <x:v>1</x:v>
      </x:c>
      <x:c r="I16" s="1" t="b">
        <x:v>0</x:v>
      </x:c>
      <x:c r="J16" s="1" t="b">
        <x:v>1</x:v>
      </x:c>
      <x:c r="K16" t="n">
        <x:v>1</x:v>
      </x:c>
      <x:c r="L16" t="str">
        <x:v>Referenced by 09_ICONS</x:v>
      </x:c>
    </x:row>
    <x:row r="17">
      <x:c r="A17" t="str">
        <x:v>asset_key_sunflower_icon</x:v>
      </x:c>
      <x:c r="B17" t="str">
        <x:v>svg</x:v>
      </x:c>
      <x:c r="C17"/>
      <x:c r="D17"/>
      <x:c r="E17" t="str">
        <x:v>&lt;DRIVE_FILE_ID_KEY_SUNFLOWER_ICON&gt;</x:v>
      </x:c>
      <x:c r="F17"/>
      <x:c r="G17"/>
      <x:c r="H17" t="n">
        <x:v>1</x:v>
      </x:c>
      <x:c r="I17" s="1" t="b">
        <x:v>0</x:v>
      </x:c>
      <x:c r="J17" s="1" t="b">
        <x:v>1</x:v>
      </x:c>
      <x:c r="K17" t="n">
        <x:v>1</x:v>
      </x:c>
      <x:c r="L17" t="str">
        <x:v>Referenced by 09_ICONS</x:v>
      </x:c>
    </x:row>
    <x:row r="18">
      <x:c r="A18" t="str">
        <x:v>asset_key_everkeep_icon</x:v>
      </x:c>
      <x:c r="B18" t="str">
        <x:v>svg</x:v>
      </x:c>
      <x:c r="C18"/>
      <x:c r="D18"/>
      <x:c r="E18" t="str">
        <x:v>&lt;DRIVE_FILE_ID_KEY_EVERKEEP_ICON&gt;</x:v>
      </x:c>
      <x:c r="F18"/>
      <x:c r="G18"/>
      <x:c r="H18" t="n">
        <x:v>1</x:v>
      </x:c>
      <x:c r="I18" s="1" t="b">
        <x:v>0</x:v>
      </x:c>
      <x:c r="J18" s="1" t="b">
        <x:v>1</x:v>
      </x:c>
      <x:c r="K18" t="n">
        <x:v>1</x:v>
      </x:c>
      <x:c r="L18" t="str">
        <x:v>Referenced by 09_ICONS</x:v>
      </x:c>
    </x:row>
    <x:row r="19">
      <x:c r="A19" t="str">
        <x:v>asset_vo_gate_01_en</x:v>
      </x:c>
      <x:c r="B19" t="str">
        <x:v>audio</x:v>
      </x:c>
      <x:c r="C19"/>
      <x:c r="D19"/>
      <x:c r="E19" t="str">
        <x:v>&lt;DRIVE_FILE_ID_VO_GATE_01_EN&gt;</x:v>
      </x:c>
      <x:c r="F19"/>
      <x:c r="G19"/>
      <x:c r="H19" t="n">
        <x:v>2</x:v>
      </x:c>
      <x:c r="I19" s="1" t="b">
        <x:v>0</x:v>
      </x:c>
      <x:c r="J19" s="1" t="b">
        <x:v>1</x:v>
      </x:c>
      <x:c r="K19" t="n">
        <x:v>1</x:v>
      </x:c>
      <x:c r="L19" t="str">
        <x:v>Referenced by 16_VOICEOVER</x:v>
      </x:c>
    </x:row>
    <x:row r="20">
      <x:c r="A20" t="str">
        <x:v>asset_vo_gate_01_ar</x:v>
      </x:c>
      <x:c r="B20" t="str">
        <x:v>audio</x:v>
      </x:c>
      <x:c r="C20"/>
      <x:c r="D20"/>
      <x:c r="E20" t="str">
        <x:v>&lt;DRIVE_FILE_ID_VO_GATE_01_AR&gt;</x:v>
      </x:c>
      <x:c r="F20"/>
      <x:c r="G20"/>
      <x:c r="H20" t="n">
        <x:v>2</x:v>
      </x:c>
      <x:c r="I20" s="1" t="b">
        <x:v>0</x:v>
      </x:c>
      <x:c r="J20" s="1" t="b">
        <x:v>1</x:v>
      </x:c>
      <x:c r="K20" t="n">
        <x:v>1</x:v>
      </x:c>
      <x:c r="L20" t="str">
        <x:v>Referenced by 16_VOICEOVER</x:v>
      </x:c>
    </x:row>
    <x:row r="21">
      <x:c r="A21" t="str">
        <x:v>asset_vo_gate_01_it</x:v>
      </x:c>
      <x:c r="B21" t="str">
        <x:v>audio</x:v>
      </x:c>
      <x:c r="C21"/>
      <x:c r="D21"/>
      <x:c r="E21" t="str">
        <x:v>&lt;DRIVE_FILE_ID_VO_GATE_01_IT&gt;</x:v>
      </x:c>
      <x:c r="F21"/>
      <x:c r="G21"/>
      <x:c r="H21" t="n">
        <x:v>2</x:v>
      </x:c>
      <x:c r="I21" s="1" t="b">
        <x:v>0</x:v>
      </x:c>
      <x:c r="J21" s="1" t="b">
        <x:v>1</x:v>
      </x:c>
      <x:c r="K21" t="n">
        <x:v>1</x:v>
      </x:c>
      <x:c r="L21" t="str">
        <x:v>Referenced by 16_VOICEOVER</x:v>
      </x:c>
    </x:row>
    <x:row r="22">
      <x:c r="A22" t="str">
        <x:v>asset_vo_gate_01_el</x:v>
      </x:c>
      <x:c r="B22" t="str">
        <x:v>audio</x:v>
      </x:c>
      <x:c r="C22"/>
      <x:c r="D22"/>
      <x:c r="E22" t="str">
        <x:v>&lt;DRIVE_FILE_ID_VO_GATE_01_EL&gt;</x:v>
      </x:c>
      <x:c r="F22"/>
      <x:c r="G22"/>
      <x:c r="H22" t="n">
        <x:v>2</x:v>
      </x:c>
      <x:c r="I22" s="1" t="b">
        <x:v>0</x:v>
      </x:c>
      <x:c r="J22" s="1" t="b">
        <x:v>1</x:v>
      </x:c>
      <x:c r="K22" t="n">
        <x:v>1</x:v>
      </x:c>
      <x:c r="L22" t="str">
        <x:v>Referenced by 16_VOICEOVER</x:v>
      </x:c>
    </x:row>
    <x:row r="23">
      <x:c r="A23" t="str">
        <x:v>asset_vo_gate_01_fr</x:v>
      </x:c>
      <x:c r="B23" t="str">
        <x:v>audio</x:v>
      </x:c>
      <x:c r="C23"/>
      <x:c r="D23"/>
      <x:c r="E23" t="str">
        <x:v>&lt;DRIVE_FILE_ID_VO_GATE_01_FR&gt;</x:v>
      </x:c>
      <x:c r="F23"/>
      <x:c r="G23"/>
      <x:c r="H23" t="n">
        <x:v>2</x:v>
      </x:c>
      <x:c r="I23" s="1" t="b">
        <x:v>0</x:v>
      </x:c>
      <x:c r="J23" s="1" t="b">
        <x:v>1</x:v>
      </x:c>
      <x:c r="K23" t="n">
        <x:v>1</x:v>
      </x:c>
      <x:c r="L23" t="str">
        <x:v>Referenced by 16_VOICEOVER</x:v>
      </x:c>
    </x:row>
    <x:row r="24">
      <x:c r="A24" t="str">
        <x:v>asset_vo_bday_greeting_en</x:v>
      </x:c>
      <x:c r="B24" t="str">
        <x:v>audio</x:v>
      </x:c>
      <x:c r="C24"/>
      <x:c r="D24"/>
      <x:c r="E24" t="str">
        <x:v>&lt;DRIVE_FILE_ID_VO_BDAY_GREETING_EN&gt;</x:v>
      </x:c>
      <x:c r="F24"/>
      <x:c r="G24"/>
      <x:c r="H24" t="n">
        <x:v>2</x:v>
      </x:c>
      <x:c r="I24" s="1" t="b">
        <x:v>0</x:v>
      </x:c>
      <x:c r="J24" s="1" t="b">
        <x:v>1</x:v>
      </x:c>
      <x:c r="K24" t="n">
        <x:v>1</x:v>
      </x:c>
      <x:c r="L24" t="str">
        <x:v>Referenced by 16_VOICEOVER</x:v>
      </x:c>
    </x:row>
    <x:row r="25">
      <x:c r="A25" t="str">
        <x:v>asset_vo_bday_greeting_ar</x:v>
      </x:c>
      <x:c r="B25" t="str">
        <x:v>audio</x:v>
      </x:c>
      <x:c r="C25"/>
      <x:c r="D25"/>
      <x:c r="E25" t="str">
        <x:v>&lt;DRIVE_FILE_ID_VO_BDAY_GREETING_AR&gt;</x:v>
      </x:c>
      <x:c r="F25"/>
      <x:c r="G25"/>
      <x:c r="H25" t="n">
        <x:v>2</x:v>
      </x:c>
      <x:c r="I25" s="1" t="b">
        <x:v>0</x:v>
      </x:c>
      <x:c r="J25" s="1" t="b">
        <x:v>1</x:v>
      </x:c>
      <x:c r="K25" t="n">
        <x:v>1</x:v>
      </x:c>
      <x:c r="L25" t="str">
        <x:v>Referenced by 16_VOICEOVER</x:v>
      </x:c>
    </x:row>
    <x:row r="26">
      <x:c r="A26" t="str">
        <x:v>asset_vo_bday_greeting_it</x:v>
      </x:c>
      <x:c r="B26" t="str">
        <x:v>audio</x:v>
      </x:c>
      <x:c r="C26"/>
      <x:c r="D26"/>
      <x:c r="E26" t="str">
        <x:v>&lt;DRIVE_FILE_ID_VO_BDAY_GREETING_IT&gt;</x:v>
      </x:c>
      <x:c r="F26"/>
      <x:c r="G26"/>
      <x:c r="H26" t="n">
        <x:v>2</x:v>
      </x:c>
      <x:c r="I26" s="1" t="b">
        <x:v>0</x:v>
      </x:c>
      <x:c r="J26" s="1" t="b">
        <x:v>1</x:v>
      </x:c>
      <x:c r="K26" t="n">
        <x:v>1</x:v>
      </x:c>
      <x:c r="L26" t="str">
        <x:v>Referenced by 16_VOICEOVER</x:v>
      </x:c>
    </x:row>
    <x:row r="27">
      <x:c r="A27" t="str">
        <x:v>asset_vo_bday_greeting_el</x:v>
      </x:c>
      <x:c r="B27" t="str">
        <x:v>audio</x:v>
      </x:c>
      <x:c r="C27"/>
      <x:c r="D27"/>
      <x:c r="E27" t="str">
        <x:v>&lt;DRIVE_FILE_ID_VO_BDAY_GREETING_EL&gt;</x:v>
      </x:c>
      <x:c r="F27"/>
      <x:c r="G27"/>
      <x:c r="H27" t="n">
        <x:v>2</x:v>
      </x:c>
      <x:c r="I27" s="1" t="b">
        <x:v>0</x:v>
      </x:c>
      <x:c r="J27" s="1" t="b">
        <x:v>1</x:v>
      </x:c>
      <x:c r="K27" t="n">
        <x:v>1</x:v>
      </x:c>
      <x:c r="L27" t="str">
        <x:v>Referenced by 16_VOICEOVER</x:v>
      </x:c>
    </x:row>
    <x:row r="28">
      <x:c r="A28" t="str">
        <x:v>asset_vo_bday_greeting_fr</x:v>
      </x:c>
      <x:c r="B28" t="str">
        <x:v>audio</x:v>
      </x:c>
      <x:c r="C28"/>
      <x:c r="D28"/>
      <x:c r="E28" t="str">
        <x:v>&lt;DRIVE_FILE_ID_VO_BDAY_GREETING_FR&gt;</x:v>
      </x:c>
      <x:c r="F28"/>
      <x:c r="G28"/>
      <x:c r="H28" t="n">
        <x:v>2</x:v>
      </x:c>
      <x:c r="I28" s="1" t="b">
        <x:v>0</x:v>
      </x:c>
      <x:c r="J28" s="1" t="b">
        <x:v>1</x:v>
      </x:c>
      <x:c r="K28" t="n">
        <x:v>1</x:v>
      </x:c>
      <x:c r="L28" t="str">
        <x:v>Referenced by 16_VOICEOVER</x:v>
      </x:c>
    </x:row>
    <x:row r="29">
      <x:c r="A29" t="str">
        <x:v>asset_audio_song_welcome_001</x:v>
      </x:c>
      <x:c r="B29" t="str">
        <x:v>audio</x:v>
      </x:c>
      <x:c r="C29" t="str">
        <x:v>cafe</x:v>
      </x:c>
      <x:c r="D29"/>
      <x:c r="E29" t="str">
        <x:v>&lt;DRIVE_FILE_ID_SONG_WELCOME_001&gt;</x:v>
      </x:c>
      <x:c r="F29"/>
      <x:c r="G29"/>
      <x:c r="H29" t="n">
        <x:v>3</x:v>
      </x:c>
      <x:c r="I29" s="1" t="b">
        <x:v>0</x:v>
      </x:c>
      <x:c r="J29" s="1" t="b">
        <x:v>0</x:v>
      </x:c>
      <x:c r="K29" t="n">
        <x:v>1</x:v>
      </x:c>
      <x:c r="L29" t="str">
        <x:v>Enable only after licensing/upload</x:v>
      </x:c>
    </x:row>
    <x:row r="30">
      <x:c r="A30" t="str">
        <x:v>asset_audio_song_bday_001</x:v>
      </x:c>
      <x:c r="B30" t="str">
        <x:v>audio</x:v>
      </x:c>
      <x:c r="C30" t="str">
        <x:v>cafe</x:v>
      </x:c>
      <x:c r="D30"/>
      <x:c r="E30" t="str">
        <x:v>&lt;DRIVE_FILE_ID_SONG_BDAY_001&gt;</x:v>
      </x:c>
      <x:c r="F30"/>
      <x:c r="G30"/>
      <x:c r="H30" t="n">
        <x:v>3</x:v>
      </x:c>
      <x:c r="I30" s="1" t="b">
        <x:v>0</x:v>
      </x:c>
      <x:c r="J30" s="1" t="b">
        <x:v>0</x:v>
      </x:c>
      <x:c r="K30" t="n">
        <x:v>1</x:v>
      </x:c>
      <x:c r="L30" t="str">
        <x:v>Enable only after licensing/upload</x:v>
      </x:c>
    </x:row>
    <x:row r="31">
      <x:c r="A31" t="str">
        <x:v>asset_audio_song_bday_002</x:v>
      </x:c>
      <x:c r="B31" t="str">
        <x:v>audio</x:v>
      </x:c>
      <x:c r="C31" t="str">
        <x:v>cafe</x:v>
      </x:c>
      <x:c r="D31"/>
      <x:c r="E31" t="str">
        <x:v>&lt;DRIVE_FILE_ID_SONG_BDAY_002&gt;</x:v>
      </x:c>
      <x:c r="F31"/>
      <x:c r="G31"/>
      <x:c r="H31" t="n">
        <x:v>3</x:v>
      </x:c>
      <x:c r="I31" s="1" t="b">
        <x:v>0</x:v>
      </x:c>
      <x:c r="J31" s="1" t="b">
        <x:v>0</x:v>
      </x:c>
      <x:c r="K31" t="n">
        <x:v>1</x:v>
      </x:c>
      <x:c r="L31" t="str">
        <x:v>Enable only after licensing/upload</x:v>
      </x:c>
    </x:row>
  </x:sheetData>
  <x:conditionalFormatting sqref="J2:J5000">
    <x:cfRule type="cellIs" dxfId="12" priority="1" operator="equal">
      <x:formula>FALSE</x:formula>
    </x:cfRule>
    <x:cfRule type="cellIs" dxfId="13" priority="2" operator="equal">
      <x:formula>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e783acbd4564a7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16" hidden="0" customWidth="1"/>
    <x:col min="5" max="5" width="24" hidden="0" customWidth="1"/>
    <x:col min="6" max="6" width="16" hidden="0" customWidth="1"/>
    <x:col min="7" max="7" width="16" hidden="0" customWidth="1"/>
    <x:col min="8" max="8" width="24" hidden="0" customWidth="1"/>
    <x:col min="9" max="9" width="24" hidden="0" customWidth="1"/>
    <x:col min="10" max="10" width="24" hidden="0" customWidth="1"/>
    <x:col min="11" max="11" width="16" hidden="0" customWidth="1"/>
  </x:cols>
  <x:sheetData>
    <x:row r="1" ht="34" customHeight="1">
      <x:c r="A1" s="11" t="str">
        <x:v>location_id</x:v>
      </x:c>
      <x:c r="B1" s="12" t="str">
        <x:v>display_name_text_id</x:v>
      </x:c>
      <x:c r="C1" s="12" t="str">
        <x:v>subtitle_text_id</x:v>
      </x:c>
      <x:c r="D1" s="12" t="str">
        <x:v>map_order</x:v>
      </x:c>
      <x:c r="E1" s="12" t="str">
        <x:v>road_side</x:v>
      </x:c>
      <x:c r="F1" s="12" t="str">
        <x:v>elevation_band</x:v>
      </x:c>
      <x:c r="G1" s="12" t="str">
        <x:v>first_visit_order</x:v>
      </x:c>
      <x:c r="H1" s="12" t="str">
        <x:v>entry_scene_id</x:v>
      </x:c>
      <x:c r="I1" s="12" t="str">
        <x:v>key_type_id</x:v>
      </x:c>
      <x:c r="J1" s="12" t="str">
        <x:v>ambient_asset_id</x:v>
      </x:c>
      <x:c r="K1" s="13" t="str">
        <x:v>enabled</x:v>
      </x:c>
    </x:row>
    <x:row r="2">
      <x:c r="A2" s="40" t="str">
        <x:v>gate</x:v>
      </x:c>
      <x:c r="B2" s="41" t="str">
        <x:v>location_gate</x:v>
      </x:c>
      <x:c r="C2" s="41" t="str"/>
      <x:c r="D2" s="41" t="n">
        <x:v>0</x:v>
      </x:c>
      <x:c r="E2" s="41" t="str">
        <x:v>outside</x:v>
      </x:c>
      <x:c r="F2" s="41" t="str">
        <x:v>gateway</x:v>
      </x:c>
      <x:c r="G2" s="41" t="n">
        <x:v>1</x:v>
      </x:c>
      <x:c r="H2" s="41" t="str">
        <x:v>scene_gate_closed</x:v>
      </x:c>
      <x:c r="I2" s="41" t="str"/>
      <x:c r="J2" s="41" t="str">
        <x:v>audio_gate_ambient</x:v>
      </x:c>
      <x:c r="K2" s="43" t="b">
        <x:v>1</x:v>
      </x:c>
    </x:row>
    <x:row r="3">
      <x:c r="A3" s="44" t="str">
        <x:v>beach</x:v>
      </x:c>
      <x:c r="B3" s="45" t="str">
        <x:v>location_beach</x:v>
      </x:c>
      <x:c r="C3" s="45" t="str">
        <x:v>subtitle_beach</x:v>
      </x:c>
      <x:c r="D3" s="45" t="n">
        <x:v>1</x:v>
      </x:c>
      <x:c r="E3" s="45" t="str">
        <x:v>center</x:v>
      </x:c>
      <x:c r="F3" s="45" t="str">
        <x:v>beach</x:v>
      </x:c>
      <x:c r="G3" s="45" t="n">
        <x:v>2</x:v>
      </x:c>
      <x:c r="H3" s="45" t="str">
        <x:v>scene_beach_arrival</x:v>
      </x:c>
      <x:c r="I3" s="45" t="str">
        <x:v>key_shell</x:v>
      </x:c>
      <x:c r="J3" s="45" t="str">
        <x:v>audio_beach_ambient</x:v>
      </x:c>
      <x:c r="K3" s="47" t="b">
        <x:v>1</x:v>
      </x:c>
    </x:row>
    <x:row r="4">
      <x:c r="A4" s="44" t="str">
        <x:v>church</x:v>
      </x:c>
      <x:c r="B4" s="45" t="str">
        <x:v>location_church</x:v>
      </x:c>
      <x:c r="C4" s="45" t="str"/>
      <x:c r="D4" s="45" t="n">
        <x:v>2</x:v>
      </x:c>
      <x:c r="E4" s="45" t="str">
        <x:v>left</x:v>
      </x:c>
      <x:c r="F4" s="45" t="str">
        <x:v>road</x:v>
      </x:c>
      <x:c r="G4" s="45" t="n">
        <x:v>3</x:v>
      </x:c>
      <x:c r="H4" s="45" t="str">
        <x:v>scene_church_approach</x:v>
      </x:c>
      <x:c r="I4" s="45" t="str">
        <x:v>key_candle</x:v>
      </x:c>
      <x:c r="J4" s="45" t="str">
        <x:v>audio_church_ambient</x:v>
      </x:c>
      <x:c r="K4" s="47" t="b">
        <x:v>1</x:v>
      </x:c>
    </x:row>
    <x:row r="5">
      <x:c r="A5" s="44" t="str">
        <x:v>cafe</x:v>
      </x:c>
      <x:c r="B5" s="45" t="str">
        <x:v>location_cafe</x:v>
      </x:c>
      <x:c r="C5" s="45" t="str"/>
      <x:c r="D5" s="45" t="n">
        <x:v>3</x:v>
      </x:c>
      <x:c r="E5" s="45" t="str">
        <x:v>right</x:v>
      </x:c>
      <x:c r="F5" s="45" t="str">
        <x:v>road</x:v>
      </x:c>
      <x:c r="G5" s="45" t="n">
        <x:v>4</x:v>
      </x:c>
      <x:c r="H5" s="45" t="str">
        <x:v>scene_cafe_approach</x:v>
      </x:c>
      <x:c r="I5" s="45" t="str">
        <x:v>key_music</x:v>
      </x:c>
      <x:c r="J5" s="45" t="str">
        <x:v>audio_cafe_ambient</x:v>
      </x:c>
      <x:c r="K5" s="47" t="b">
        <x:v>1</x:v>
      </x:c>
    </x:row>
    <x:row r="6">
      <x:c r="A6" s="44" t="str">
        <x:v>arcade</x:v>
      </x:c>
      <x:c r="B6" s="45" t="str">
        <x:v>location_arcade</x:v>
      </x:c>
      <x:c r="C6" s="45" t="str"/>
      <x:c r="D6" s="45" t="n">
        <x:v>4</x:v>
      </x:c>
      <x:c r="E6" s="45" t="str">
        <x:v>right</x:v>
      </x:c>
      <x:c r="F6" s="45" t="str">
        <x:v>road</x:v>
      </x:c>
      <x:c r="G6" s="45" t="n">
        <x:v>5</x:v>
      </x:c>
      <x:c r="H6" s="45" t="str">
        <x:v>scene_arcade_approach</x:v>
      </x:c>
      <x:c r="I6" s="45" t="str">
        <x:v>key_token</x:v>
      </x:c>
      <x:c r="J6" s="45" t="str">
        <x:v>audio_arcade_ambient</x:v>
      </x:c>
      <x:c r="K6" s="47" t="b">
        <x:v>1</x:v>
      </x:c>
    </x:row>
    <x:row r="7">
      <x:c r="A7" s="44" t="str">
        <x:v>cottage</x:v>
      </x:c>
      <x:c r="B7" s="45" t="str">
        <x:v>location_cottage</x:v>
      </x:c>
      <x:c r="C7" s="45" t="str"/>
      <x:c r="D7" s="45" t="n">
        <x:v>5</x:v>
      </x:c>
      <x:c r="E7" s="45" t="str">
        <x:v>right</x:v>
      </x:c>
      <x:c r="F7" s="45" t="str">
        <x:v>upper_road</x:v>
      </x:c>
      <x:c r="G7" s="45" t="n">
        <x:v>6</x:v>
      </x:c>
      <x:c r="H7" s="45" t="str">
        <x:v>scene_cottage_approach</x:v>
      </x:c>
      <x:c r="I7" s="45" t="str">
        <x:v>key_letter</x:v>
      </x:c>
      <x:c r="J7" s="45" t="str">
        <x:v>audio_cottage_ambient</x:v>
      </x:c>
      <x:c r="K7" s="47" t="b">
        <x:v>1</x:v>
      </x:c>
    </x:row>
    <x:row r="8">
      <x:c r="A8" s="44" t="str">
        <x:v>farm</x:v>
      </x:c>
      <x:c r="B8" s="45" t="str">
        <x:v>location_farm</x:v>
      </x:c>
      <x:c r="C8" s="45" t="str">
        <x:v>subtitle_farm</x:v>
      </x:c>
      <x:c r="D8" s="45" t="n">
        <x:v>6</x:v>
      </x:c>
      <x:c r="E8" s="45" t="str">
        <x:v>left</x:v>
      </x:c>
      <x:c r="F8" s="45" t="str">
        <x:v>road</x:v>
      </x:c>
      <x:c r="G8" s="45" t="n">
        <x:v>7</x:v>
      </x:c>
      <x:c r="H8" s="45" t="str">
        <x:v>scene_farm_approach</x:v>
      </x:c>
      <x:c r="I8" s="45" t="str">
        <x:v>key_sunflower</x:v>
      </x:c>
      <x:c r="J8" s="45" t="str">
        <x:v>audio_farm_ambient</x:v>
      </x:c>
      <x:c r="K8" s="47" t="b">
        <x:v>1</x:v>
      </x:c>
    </x:row>
    <x:row r="9">
      <x:c r="A9" s="48" t="str">
        <x:v>museum</x:v>
      </x:c>
      <x:c r="B9" s="49" t="str">
        <x:v>location_museum</x:v>
      </x:c>
      <x:c r="C9" s="49" t="str">
        <x:v>subtitle_museum</x:v>
      </x:c>
      <x:c r="D9" s="49" t="n">
        <x:v>7</x:v>
      </x:c>
      <x:c r="E9" s="49" t="str">
        <x:v>center</x:v>
      </x:c>
      <x:c r="F9" s="49" t="str">
        <x:v>museum</x:v>
      </x:c>
      <x:c r="G9" s="49" t="n">
        <x:v>8</x:v>
      </x:c>
      <x:c r="H9" s="49" t="str">
        <x:v>scene_museum_approach</x:v>
      </x:c>
      <x:c r="I9" s="49" t="str">
        <x:v>key_everkeep</x:v>
      </x:c>
      <x:c r="J9" s="49" t="str">
        <x:v>audio_museum_ambient</x:v>
      </x:c>
      <x:c r="K9" s="51" t="b">
        <x:v>1</x:v>
      </x:c>
    </x:row>
  </x:sheetData>
  <x:conditionalFormatting sqref="K2:K5000">
    <x:cfRule type="cellIs" dxfId="14" priority="1" operator="equal">
      <x:formula>FALSE</x:formula>
    </x:cfRule>
    <x:cfRule type="cellIs" dxfId="15" priority="2" operator="equal">
      <x:formula>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ee52a255096472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6" hidden="0" customWidth="1"/>
    <x:col min="4" max="4" width="24" hidden="0" customWidth="1"/>
    <x:col min="5" max="5" width="24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24" hidden="0" customWidth="1"/>
    <x:col min="12" max="12" width="16" hidden="0" customWidth="1"/>
  </x:cols>
  <x:sheetData>
    <x:row r="1" ht="34" customHeight="1">
      <x:c r="A1" s="11" t="str">
        <x:v>scene_id</x:v>
      </x:c>
      <x:c r="B1" s="12" t="str">
        <x:v>location_id</x:v>
      </x:c>
      <x:c r="C1" s="12" t="str">
        <x:v>scene_type</x:v>
      </x:c>
      <x:c r="D1" s="12" t="str">
        <x:v>display_name</x:v>
      </x:c>
      <x:c r="E1" s="12" t="str">
        <x:v>background_asset_id</x:v>
      </x:c>
      <x:c r="F1" s="12" t="str">
        <x:v>mobile_asset_id</x:v>
      </x:c>
      <x:c r="G1" s="12" t="str">
        <x:v>entry_transition</x:v>
      </x:c>
      <x:c r="H1" s="12" t="str">
        <x:v>exit_transition</x:v>
      </x:c>
      <x:c r="I1" s="12" t="str">
        <x:v>camera_mode</x:v>
      </x:c>
      <x:c r="J1" s="12" t="str">
        <x:v>movement_profile</x:v>
      </x:c>
      <x:c r="K1" s="12" t="str">
        <x:v>ambient_audio_id</x:v>
      </x:c>
      <x:c r="L1" s="13" t="str">
        <x:v>enabled</x:v>
      </x:c>
    </x:row>
    <x:row r="2">
      <x:c r="A2" s="40" t="str">
        <x:v>scene_boot</x:v>
      </x:c>
      <x:c r="B2" s="41" t="str">
        <x:v>gate</x:v>
      </x:c>
      <x:c r="C2" s="41" t="str">
        <x:v>cinematic</x:v>
      </x:c>
      <x:c r="D2" s="41" t="str">
        <x:v>Bootstrap and Title</x:v>
      </x:c>
      <x:c r="E2" s="41" t="str">
        <x:v>asset_world_logo</x:v>
      </x:c>
      <x:c r="F2" s="41" t="str">
        <x:v>asset_world_logo</x:v>
      </x:c>
      <x:c r="G2" s="41" t="str">
        <x:v>fade</x:v>
      </x:c>
      <x:c r="H2" s="41" t="str">
        <x:v>reveal</x:v>
      </x:c>
      <x:c r="I2" s="41" t="str">
        <x:v>locked</x:v>
      </x:c>
      <x:c r="J2" s="41" t="str">
        <x:v>none</x:v>
      </x:c>
      <x:c r="K2" s="41" t="str">
        <x:v>audio_gate_ambient</x:v>
      </x:c>
      <x:c r="L2" s="43" t="b">
        <x:v>1</x:v>
      </x:c>
    </x:row>
    <x:row r="3">
      <x:c r="A3" s="44" t="str">
        <x:v>scene_gate_closed</x:v>
      </x:c>
      <x:c r="B3" s="45" t="str">
        <x:v>gate</x:v>
      </x:c>
      <x:c r="C3" s="45" t="str">
        <x:v>exterior</x:v>
      </x:c>
      <x:c r="D3" s="45" t="str">
        <x:v>Closed Gate</x:v>
      </x:c>
      <x:c r="E3" s="45" t="str">
        <x:v>asset_gate_bg</x:v>
      </x:c>
      <x:c r="F3" s="45" t="str">
        <x:v>asset_gate_bg</x:v>
      </x:c>
      <x:c r="G3" s="45" t="str">
        <x:v>reveal</x:v>
      </x:c>
      <x:c r="H3" s="45" t="str">
        <x:v>door_open</x:v>
      </x:c>
      <x:c r="I3" s="45" t="str">
        <x:v>first_person</x:v>
      </x:c>
      <x:c r="J3" s="45" t="str">
        <x:v>bounded</x:v>
      </x:c>
      <x:c r="K3" s="45" t="str">
        <x:v>audio_gate_ambient</x:v>
      </x:c>
      <x:c r="L3" s="47" t="b">
        <x:v>1</x:v>
      </x:c>
    </x:row>
    <x:row r="4">
      <x:c r="A4" s="44" t="str">
        <x:v>scene_beach_arrival</x:v>
      </x:c>
      <x:c r="B4" s="45" t="str">
        <x:v>beach</x:v>
      </x:c>
      <x:c r="C4" s="45" t="str">
        <x:v>exterior</x:v>
      </x:c>
      <x:c r="D4" s="45" t="str">
        <x:v>Marevi Cove Arrival</x:v>
      </x:c>
      <x:c r="E4" s="45" t="str">
        <x:v>asset_ocean_loop</x:v>
      </x:c>
      <x:c r="F4" s="45" t="str">
        <x:v>asset_ocean_loop</x:v>
      </x:c>
      <x:c r="G4" s="45" t="str">
        <x:v>portal_walk</x:v>
      </x:c>
      <x:c r="H4" s="45" t="str">
        <x:v>cinematic_settle</x:v>
      </x:c>
      <x:c r="I4" s="45" t="str">
        <x:v>first_person</x:v>
      </x:c>
      <x:c r="J4" s="45" t="str">
        <x:v>wide_bounded</x:v>
      </x:c>
      <x:c r="K4" s="45" t="str">
        <x:v>audio_beach_ambient</x:v>
      </x:c>
      <x:c r="L4" s="47" t="b">
        <x:v>1</x:v>
      </x:c>
    </x:row>
    <x:row r="5">
      <x:c r="A5" s="44" t="str">
        <x:v>scene_church_approach</x:v>
      </x:c>
      <x:c r="B5" s="45" t="str">
        <x:v>church</x:v>
      </x:c>
      <x:c r="C5" s="45" t="str">
        <x:v>exterior</x:v>
      </x:c>
      <x:c r="D5" s="45" t="str">
        <x:v>Church Approach</x:v>
      </x:c>
      <x:c r="E5" s="45" t="str">
        <x:v>&lt;CHURCH_ASSET&gt;</x:v>
      </x:c>
      <x:c r="F5" s="45" t="str">
        <x:v>&lt;CHURCH_MOBILE_ASSET&gt;</x:v>
      </x:c>
      <x:c r="G5" s="45" t="str">
        <x:v>road_walk</x:v>
      </x:c>
      <x:c r="H5" s="45" t="str">
        <x:v>door</x:v>
      </x:c>
      <x:c r="I5" s="45" t="str">
        <x:v>first_person</x:v>
      </x:c>
      <x:c r="J5" s="45" t="str">
        <x:v>rail_plus_bounded</x:v>
      </x:c>
      <x:c r="K5" s="45" t="str">
        <x:v>audio_church_ambient</x:v>
      </x:c>
      <x:c r="L5" s="47" t="b">
        <x:v>1</x:v>
      </x:c>
    </x:row>
    <x:row r="6">
      <x:c r="A6" s="44" t="str">
        <x:v>scene_cafe_approach</x:v>
      </x:c>
      <x:c r="B6" s="45" t="str">
        <x:v>cafe</x:v>
      </x:c>
      <x:c r="C6" s="45" t="str">
        <x:v>exterior</x:v>
      </x:c>
      <x:c r="D6" s="45" t="str">
        <x:v>Vinyl Café Approach</x:v>
      </x:c>
      <x:c r="E6" s="45" t="str">
        <x:v>&lt;CAFE_ASSET&gt;</x:v>
      </x:c>
      <x:c r="F6" s="45" t="str">
        <x:v>&lt;CAFE_MOBILE_ASSET&gt;</x:v>
      </x:c>
      <x:c r="G6" s="45" t="str">
        <x:v>road_cross</x:v>
      </x:c>
      <x:c r="H6" s="45" t="str">
        <x:v>door</x:v>
      </x:c>
      <x:c r="I6" s="45" t="str">
        <x:v>first_person</x:v>
      </x:c>
      <x:c r="J6" s="45" t="str">
        <x:v>rail_plus_bounded</x:v>
      </x:c>
      <x:c r="K6" s="45" t="str">
        <x:v>audio_cafe_ambient</x:v>
      </x:c>
      <x:c r="L6" s="47" t="b">
        <x:v>1</x:v>
      </x:c>
    </x:row>
    <x:row r="7">
      <x:c r="A7" s="44" t="str">
        <x:v>scene_arcade_approach</x:v>
      </x:c>
      <x:c r="B7" s="45" t="str">
        <x:v>arcade</x:v>
      </x:c>
      <x:c r="C7" s="45" t="str">
        <x:v>exterior</x:v>
      </x:c>
      <x:c r="D7" s="45" t="str">
        <x:v>VARcade Approach</x:v>
      </x:c>
      <x:c r="E7" s="45" t="str">
        <x:v>&lt;ARCADE_ASSET&gt;</x:v>
      </x:c>
      <x:c r="F7" s="45" t="str">
        <x:v>&lt;ARCADE_MOBILE_ASSET&gt;</x:v>
      </x:c>
      <x:c r="G7" s="45" t="str">
        <x:v>road_walk</x:v>
      </x:c>
      <x:c r="H7" s="45" t="str">
        <x:v>door</x:v>
      </x:c>
      <x:c r="I7" s="45" t="str">
        <x:v>first_person</x:v>
      </x:c>
      <x:c r="J7" s="45" t="str">
        <x:v>rail_plus_bounded</x:v>
      </x:c>
      <x:c r="K7" s="45" t="str">
        <x:v>audio_arcade_ambient</x:v>
      </x:c>
      <x:c r="L7" s="47" t="b">
        <x:v>1</x:v>
      </x:c>
    </x:row>
    <x:row r="8">
      <x:c r="A8" s="44" t="str">
        <x:v>scene_cottage_approach</x:v>
      </x:c>
      <x:c r="B8" s="45" t="str">
        <x:v>cottage</x:v>
      </x:c>
      <x:c r="C8" s="45" t="str">
        <x:v>exterior</x:v>
      </x:c>
      <x:c r="D8" s="45" t="str">
        <x:v>Cottage and Mailbox</x:v>
      </x:c>
      <x:c r="E8" s="45" t="str">
        <x:v>&lt;COTTAGE_ASSET&gt;</x:v>
      </x:c>
      <x:c r="F8" s="45" t="str">
        <x:v>&lt;COTTAGE_MOBILE_ASSET&gt;</x:v>
      </x:c>
      <x:c r="G8" s="45" t="str">
        <x:v>road_walk</x:v>
      </x:c>
      <x:c r="H8" s="45" t="str">
        <x:v>door</x:v>
      </x:c>
      <x:c r="I8" s="45" t="str">
        <x:v>first_person</x:v>
      </x:c>
      <x:c r="J8" s="45" t="str">
        <x:v>rail_plus_bounded</x:v>
      </x:c>
      <x:c r="K8" s="45" t="str">
        <x:v>audio_cottage_ambient</x:v>
      </x:c>
      <x:c r="L8" s="47" t="b">
        <x:v>1</x:v>
      </x:c>
    </x:row>
    <x:row r="9">
      <x:c r="A9" s="44" t="str">
        <x:v>scene_farm_approach</x:v>
      </x:c>
      <x:c r="B9" s="45" t="str">
        <x:v>farm</x:v>
      </x:c>
      <x:c r="C9" s="45" t="str">
        <x:v>exterior</x:v>
      </x:c>
      <x:c r="D9" s="45" t="str">
        <x:v>Sunberry Fields Approach</x:v>
      </x:c>
      <x:c r="E9" s="45" t="str">
        <x:v>&lt;FARM_ASSET&gt;</x:v>
      </x:c>
      <x:c r="F9" s="45" t="str">
        <x:v>&lt;FARM_MOBILE_ASSET&gt;</x:v>
      </x:c>
      <x:c r="G9" s="45" t="str">
        <x:v>road_cross</x:v>
      </x:c>
      <x:c r="H9" s="45" t="str">
        <x:v>field_enter</x:v>
      </x:c>
      <x:c r="I9" s="45" t="str">
        <x:v>first_person</x:v>
      </x:c>
      <x:c r="J9" s="45" t="str">
        <x:v>wide_bounded</x:v>
      </x:c>
      <x:c r="K9" s="45" t="str">
        <x:v>audio_farm_ambient</x:v>
      </x:c>
      <x:c r="L9" s="47" t="b">
        <x:v>1</x:v>
      </x:c>
    </x:row>
    <x:row r="10">
      <x:c r="A10" s="44" t="str">
        <x:v>scene_museum_approach</x:v>
      </x:c>
      <x:c r="B10" s="45" t="str">
        <x:v>museum</x:v>
      </x:c>
      <x:c r="C10" s="45" t="str">
        <x:v>exterior</x:v>
      </x:c>
      <x:c r="D10" s="45" t="str">
        <x:v>The Everkeep Approach</x:v>
      </x:c>
      <x:c r="E10" s="45" t="str">
        <x:v>&lt;MUSEUM_ASSET&gt;</x:v>
      </x:c>
      <x:c r="F10" s="45" t="str">
        <x:v>&lt;MUSEUM_MOBILE_ASSET&gt;</x:v>
      </x:c>
      <x:c r="G10" s="45" t="str">
        <x:v>uphill_walk</x:v>
      </x:c>
      <x:c r="H10" s="45" t="str">
        <x:v>door</x:v>
      </x:c>
      <x:c r="I10" s="45" t="str">
        <x:v>first_person</x:v>
      </x:c>
      <x:c r="J10" s="45" t="str">
        <x:v>rail_plus_bounded</x:v>
      </x:c>
      <x:c r="K10" s="45" t="str">
        <x:v>audio_museum_ambient</x:v>
      </x:c>
      <x:c r="L10" s="47" t="b">
        <x:v>1</x:v>
      </x:c>
    </x:row>
    <x:row r="11">
      <x:c r="A11" s="44" t="str">
        <x:v>scene_museum_hall</x:v>
      </x:c>
      <x:c r="B11" s="45" t="str">
        <x:v>museum</x:v>
      </x:c>
      <x:c r="C11" s="45" t="str">
        <x:v>interior</x:v>
      </x:c>
      <x:c r="D11" s="45" t="str">
        <x:v>The Everkeep Central Hall</x:v>
      </x:c>
      <x:c r="E11" s="45" t="str">
        <x:v>&lt;HALL_ASSET&gt;</x:v>
      </x:c>
      <x:c r="F11" s="45" t="str">
        <x:v>&lt;HALL_MOBILE_ASSET&gt;</x:v>
      </x:c>
      <x:c r="G11" s="45" t="str">
        <x:v>door</x:v>
      </x:c>
      <x:c r="H11" s="45" t="str">
        <x:v>map_unlock</x:v>
      </x:c>
      <x:c r="I11" s="45" t="str">
        <x:v>first_person</x:v>
      </x:c>
      <x:c r="J11" s="45" t="str">
        <x:v>bounded</x:v>
      </x:c>
      <x:c r="K11" s="45" t="str">
        <x:v>audio_museum_ambient</x:v>
      </x:c>
      <x:c r="L11" s="47" t="b">
        <x:v>1</x:v>
      </x:c>
    </x:row>
    <x:row r="12">
      <x:c r="A12" s="48" t="str">
        <x:v>scene_map</x:v>
      </x:c>
      <x:c r="B12" s="49" t="str">
        <x:v>map</x:v>
      </x:c>
      <x:c r="C12" s="49" t="str">
        <x:v>overview</x:v>
      </x:c>
      <x:c r="D12" s="49" t="str">
        <x:v>Living Island Map</x:v>
      </x:c>
      <x:c r="E12" s="49" t="str">
        <x:v>asset_map</x:v>
      </x:c>
      <x:c r="F12" s="49" t="str">
        <x:v>asset_map</x:v>
      </x:c>
      <x:c r="G12" s="49" t="str">
        <x:v>camera_pullback</x:v>
      </x:c>
      <x:c r="H12" s="49" t="str">
        <x:v>camera_descend</x:v>
      </x:c>
      <x:c r="I12" s="49" t="str">
        <x:v>map</x:v>
      </x:c>
      <x:c r="J12" s="49" t="str">
        <x:v>map_navigation</x:v>
      </x:c>
      <x:c r="K12" s="49" t="str">
        <x:v>audio_map_ambient</x:v>
      </x:c>
      <x:c r="L12" s="51" t="b">
        <x:v>1</x:v>
      </x:c>
    </x:row>
  </x:sheetData>
  <x:conditionalFormatting sqref="L2:L5000">
    <x:cfRule type="cellIs" dxfId="16" priority="1" operator="equal">
      <x:formula>FALSE</x:formula>
    </x:cfRule>
    <x:cfRule type="cellIs" dxfId="17" priority="2" operator="equal">
      <x:formula>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69b0af3d1104a09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6" hidden="0" customWidth="1"/>
    <x:col min="4" max="4" width="24" hidden="0" customWidth="1"/>
    <x:col min="5" max="5" width="2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 ht="34" customHeight="1">
      <x:c r="A1" s="11" t="str">
        <x:v>route_id</x:v>
      </x:c>
      <x:c r="B1" s="12" t="str">
        <x:v>route_name</x:v>
      </x:c>
      <x:c r="C1" s="12" t="str">
        <x:v>route_type</x:v>
      </x:c>
      <x:c r="D1" s="12" t="str">
        <x:v>start_scene_id</x:v>
      </x:c>
      <x:c r="E1" s="12" t="str">
        <x:v>end_scene_id</x:v>
      </x:c>
      <x:c r="F1" s="12" t="str">
        <x:v>mandatory_once</x:v>
      </x:c>
      <x:c r="G1" s="12" t="str">
        <x:v>allow_skip_after_complete</x:v>
      </x:c>
      <x:c r="H1" s="12" t="str">
        <x:v>active_version</x:v>
      </x:c>
      <x:c r="I1" s="12" t="str">
        <x:v>enabled</x:v>
      </x:c>
      <x:c r="J1" s="13" t="str">
        <x:v>notes</x:v>
      </x:c>
    </x:row>
    <x:row r="2">
      <x:c r="A2" s="40" t="str">
        <x:v>first_journey</x:v>
      </x:c>
      <x:c r="B2" s="41" t="str">
        <x:v>Mandatory First Journey</x:v>
      </x:c>
      <x:c r="C2" s="41" t="str">
        <x:v>story</x:v>
      </x:c>
      <x:c r="D2" s="41" t="str">
        <x:v>scene_boot</x:v>
      </x:c>
      <x:c r="E2" s="41" t="str">
        <x:v>scene_map</x:v>
      </x:c>
      <x:c r="F2" s="42" t="b">
        <x:v>1</x:v>
      </x:c>
      <x:c r="G2" s="42" t="b">
        <x:v>1</x:v>
      </x:c>
      <x:c r="H2" s="41" t="str">
        <x:v>first_journey_v1</x:v>
      </x:c>
      <x:c r="I2" s="42" t="b">
        <x:v>1</x:v>
      </x:c>
      <x:c r="J2" s="104" t="str">
        <x:v>Gate &gt; Beach &gt; Church &gt; Café &gt; VARcade &gt; Cottage &gt; Farm &gt; Museum</x:v>
      </x:c>
    </x:row>
    <x:row r="3">
      <x:c r="A3" s="48" t="str">
        <x:v>birthday_route</x:v>
      </x:c>
      <x:c r="B3" s="49" t="str">
        <x:v>Birthday Celebration Route</x:v>
      </x:c>
      <x:c r="C3" s="49" t="str">
        <x:v>event</x:v>
      </x:c>
      <x:c r="D3" s="49" t="str">
        <x:v>scene_cottage_approach</x:v>
      </x:c>
      <x:c r="E3" s="49" t="str">
        <x:v>scene_museum_hall</x:v>
      </x:c>
      <x:c r="F3" s="50" t="b">
        <x:v>0</x:v>
      </x:c>
      <x:c r="G3" s="50" t="b">
        <x:v>1</x:v>
      </x:c>
      <x:c r="H3" s="49" t="str">
        <x:v>birthday_2026_v1</x:v>
      </x:c>
      <x:c r="I3" s="50" t="b">
        <x:v>1</x:v>
      </x:c>
      <x:c r="J3" s="106" t="str">
        <x:v>Suggested, not forced after opening greeting</x:v>
      </x:c>
    </x:row>
  </x:sheetData>
  <x:conditionalFormatting sqref="I2:I5000">
    <x:cfRule type="cellIs" dxfId="18" priority="1" operator="equal">
      <x:formula>FALSE</x:formula>
    </x:cfRule>
    <x:cfRule type="cellIs" dxfId="19" priority="2" operator="equal">
      <x:formula>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008bd523a584b59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6" hidden="0" customWidth="1"/>
    <x:col min="4" max="4" width="24" hidden="0" customWidth="1"/>
    <x:col min="5" max="5" width="24" hidden="0" customWidth="1"/>
    <x:col min="6" max="6" width="16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16" hidden="0" customWidth="1"/>
    <x:col min="13" max="13" width="24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34" customHeight="1">
      <x:c r="A1" s="11" t="str">
        <x:v>beat_id</x:v>
      </x:c>
      <x:c r="B1" s="12" t="str">
        <x:v>route_id</x:v>
      </x:c>
      <x:c r="C1" s="12" t="str">
        <x:v>sequence</x:v>
      </x:c>
      <x:c r="D1" s="12" t="str">
        <x:v>scene_id</x:v>
      </x:c>
      <x:c r="E1" s="12" t="str">
        <x:v>location_id</x:v>
      </x:c>
      <x:c r="F1" s="12" t="str">
        <x:v>beat_type</x:v>
      </x:c>
      <x:c r="G1" s="12" t="str">
        <x:v>title_text_id</x:v>
      </x:c>
      <x:c r="H1" s="12" t="str">
        <x:v>dialogue_group_id</x:v>
      </x:c>
      <x:c r="I1" s="12" t="str">
        <x:v>voiceover_group_id</x:v>
      </x:c>
      <x:c r="J1" s="12" t="str">
        <x:v>required_interaction_id</x:v>
      </x:c>
      <x:c r="K1" s="12" t="str">
        <x:v>reward_rule_id</x:v>
      </x:c>
      <x:c r="L1" s="12" t="str">
        <x:v>checkpoint</x:v>
      </x:c>
      <x:c r="M1" s="12" t="str">
        <x:v>next_beat_id</x:v>
      </x:c>
      <x:c r="N1" s="12" t="str">
        <x:v>map_locked</x:v>
      </x:c>
      <x:c r="O1" s="12" t="str">
        <x:v>walkman_state</x:v>
      </x:c>
      <x:c r="P1" s="13" t="str">
        <x:v>enabled</x:v>
      </x:c>
    </x:row>
    <x:row r="2">
      <x:c r="A2" s="40" t="str">
        <x:v>beat_01_boot</x:v>
      </x:c>
      <x:c r="B2" s="41" t="str">
        <x:v>first_journey</x:v>
      </x:c>
      <x:c r="C2" s="41" t="n">
        <x:v>1</x:v>
      </x:c>
      <x:c r="D2" s="41" t="str">
        <x:v>scene_boot</x:v>
      </x:c>
      <x:c r="E2" s="41" t="str">
        <x:v>gate</x:v>
      </x:c>
      <x:c r="F2" s="41" t="str">
        <x:v>cinematic</x:v>
      </x:c>
      <x:c r="G2" s="41" t="str">
        <x:v>beat_boot_title</x:v>
      </x:c>
      <x:c r="H2" s="41" t="str">
        <x:v>dlg_boot</x:v>
      </x:c>
      <x:c r="I2" s="41" t="str">
        <x:v>vo_boot</x:v>
      </x:c>
      <x:c r="J2" s="41" t="str"/>
      <x:c r="K2" s="41" t="str"/>
      <x:c r="L2" s="42" t="b">
        <x:v>1</x:v>
      </x:c>
      <x:c r="M2" s="41" t="str">
        <x:v>beat_02_gate</x:v>
      </x:c>
      <x:c r="N2" s="42" t="b">
        <x:v>1</x:v>
      </x:c>
      <x:c r="O2" s="41" t="str">
        <x:v>locked</x:v>
      </x:c>
      <x:c r="P2" s="43" t="b">
        <x:v>1</x:v>
      </x:c>
    </x:row>
    <x:row r="3">
      <x:c r="A3" s="44" t="str">
        <x:v>beat_02_gate</x:v>
      </x:c>
      <x:c r="B3" s="45" t="str">
        <x:v>first_journey</x:v>
      </x:c>
      <x:c r="C3" s="45" t="n">
        <x:v>2</x:v>
      </x:c>
      <x:c r="D3" s="45" t="str">
        <x:v>scene_gate_closed</x:v>
      </x:c>
      <x:c r="E3" s="45" t="str">
        <x:v>gate</x:v>
      </x:c>
      <x:c r="F3" s="45" t="str">
        <x:v>interaction</x:v>
      </x:c>
      <x:c r="G3" s="45" t="str">
        <x:v>beat_gate_title</x:v>
      </x:c>
      <x:c r="H3" s="45" t="str">
        <x:v>dlg_gate</x:v>
      </x:c>
      <x:c r="I3" s="45" t="str">
        <x:v>vo_gate</x:v>
      </x:c>
      <x:c r="J3" s="45" t="str">
        <x:v>gate_dials</x:v>
      </x:c>
      <x:c r="K3" s="45" t="str"/>
      <x:c r="L3" s="46" t="b">
        <x:v>1</x:v>
      </x:c>
      <x:c r="M3" s="45" t="str">
        <x:v>beat_03_var_reveal</x:v>
      </x:c>
      <x:c r="N3" s="46" t="b">
        <x:v>1</x:v>
      </x:c>
      <x:c r="O3" s="45" t="str">
        <x:v>locked</x:v>
      </x:c>
      <x:c r="P3" s="47" t="b">
        <x:v>1</x:v>
      </x:c>
    </x:row>
    <x:row r="4">
      <x:c r="A4" s="44" t="str">
        <x:v>beat_03_var_reveal</x:v>
      </x:c>
      <x:c r="B4" s="45" t="str">
        <x:v>first_journey</x:v>
      </x:c>
      <x:c r="C4" s="45" t="n">
        <x:v>3</x:v>
      </x:c>
      <x:c r="D4" s="45" t="str">
        <x:v>scene_gate_closed</x:v>
      </x:c>
      <x:c r="E4" s="45" t="str">
        <x:v>gate</x:v>
      </x:c>
      <x:c r="F4" s="45" t="str">
        <x:v>dialogue</x:v>
      </x:c>
      <x:c r="G4" s="45" t="str">
        <x:v>beat_var_reveal</x:v>
      </x:c>
      <x:c r="H4" s="45" t="str">
        <x:v>dlg_var_reveal</x:v>
      </x:c>
      <x:c r="I4" s="45" t="str">
        <x:v>vo_var_reveal</x:v>
      </x:c>
      <x:c r="J4" s="45" t="str"/>
      <x:c r="K4" s="45" t="str"/>
      <x:c r="L4" s="46" t="b">
        <x:v>1</x:v>
      </x:c>
      <x:c r="M4" s="45" t="str">
        <x:v>beat_04_gate_open</x:v>
      </x:c>
      <x:c r="N4" s="46" t="b">
        <x:v>1</x:v>
      </x:c>
      <x:c r="O4" s="45" t="str">
        <x:v>locked</x:v>
      </x:c>
      <x:c r="P4" s="47" t="b">
        <x:v>1</x:v>
      </x:c>
    </x:row>
    <x:row r="5">
      <x:c r="A5" s="44" t="str">
        <x:v>beat_04_gate_open</x:v>
      </x:c>
      <x:c r="B5" s="45" t="str">
        <x:v>first_journey</x:v>
      </x:c>
      <x:c r="C5" s="45" t="n">
        <x:v>4</x:v>
      </x:c>
      <x:c r="D5" s="45" t="str">
        <x:v>scene_gate_closed</x:v>
      </x:c>
      <x:c r="E5" s="45" t="str">
        <x:v>gate</x:v>
      </x:c>
      <x:c r="F5" s="45" t="str">
        <x:v>cinematic</x:v>
      </x:c>
      <x:c r="G5" s="45" t="str">
        <x:v>beat_gate_open</x:v>
      </x:c>
      <x:c r="H5" s="45" t="str">
        <x:v>dlg_gate_open</x:v>
      </x:c>
      <x:c r="I5" s="45" t="str">
        <x:v>vo_gate_open</x:v>
      </x:c>
      <x:c r="J5" s="45" t="str">
        <x:v>gate_success</x:v>
      </x:c>
      <x:c r="K5" s="45" t="str"/>
      <x:c r="L5" s="46" t="b">
        <x:v>1</x:v>
      </x:c>
      <x:c r="M5" s="45" t="str">
        <x:v>beat_05_beach</x:v>
      </x:c>
      <x:c r="N5" s="46" t="b">
        <x:v>1</x:v>
      </x:c>
      <x:c r="O5" s="45" t="str">
        <x:v>locked</x:v>
      </x:c>
      <x:c r="P5" s="47" t="b">
        <x:v>1</x:v>
      </x:c>
    </x:row>
    <x:row r="6">
      <x:c r="A6" s="44" t="str">
        <x:v>beat_05_beach</x:v>
      </x:c>
      <x:c r="B6" s="45" t="str">
        <x:v>first_journey</x:v>
      </x:c>
      <x:c r="C6" s="45" t="n">
        <x:v>5</x:v>
      </x:c>
      <x:c r="D6" s="45" t="str">
        <x:v>scene_beach_arrival</x:v>
      </x:c>
      <x:c r="E6" s="45" t="str">
        <x:v>beach</x:v>
      </x:c>
      <x:c r="F6" s="45" t="str">
        <x:v>location_intro</x:v>
      </x:c>
      <x:c r="G6" s="45" t="str">
        <x:v>beat_beach_intro</x:v>
      </x:c>
      <x:c r="H6" s="45" t="str">
        <x:v>dlg_beach</x:v>
      </x:c>
      <x:c r="I6" s="45" t="str">
        <x:v>vo_beach</x:v>
      </x:c>
      <x:c r="J6" s="45" t="str">
        <x:v>beach_signature</x:v>
      </x:c>
      <x:c r="K6" s="45" t="str">
        <x:v>rule_first_shell</x:v>
      </x:c>
      <x:c r="L6" s="46" t="b">
        <x:v>1</x:v>
      </x:c>
      <x:c r="M6" s="45" t="str">
        <x:v>beat_06_naming</x:v>
      </x:c>
      <x:c r="N6" s="46" t="b">
        <x:v>1</x:v>
      </x:c>
      <x:c r="O6" s="45" t="str">
        <x:v>locked</x:v>
      </x:c>
      <x:c r="P6" s="47" t="b">
        <x:v>1</x:v>
      </x:c>
    </x:row>
    <x:row r="7">
      <x:c r="A7" s="44" t="str">
        <x:v>beat_06_naming</x:v>
      </x:c>
      <x:c r="B7" s="45" t="str">
        <x:v>first_journey</x:v>
      </x:c>
      <x:c r="C7" s="45" t="n">
        <x:v>6</x:v>
      </x:c>
      <x:c r="D7" s="45" t="str">
        <x:v>scene_beach_arrival</x:v>
      </x:c>
      <x:c r="E7" s="45" t="str">
        <x:v>beach</x:v>
      </x:c>
      <x:c r="F7" s="45" t="str">
        <x:v>choice</x:v>
      </x:c>
      <x:c r="G7" s="45" t="str">
        <x:v>beat_naming</x:v>
      </x:c>
      <x:c r="H7" s="45" t="str">
        <x:v>dlg_naming</x:v>
      </x:c>
      <x:c r="I7" s="45" t="str">
        <x:v>vo_naming</x:v>
      </x:c>
      <x:c r="J7" s="45" t="str">
        <x:v>cat_name_gender</x:v>
      </x:c>
      <x:c r="K7" s="45" t="str"/>
      <x:c r="L7" s="46" t="b">
        <x:v>1</x:v>
      </x:c>
      <x:c r="M7" s="45" t="str">
        <x:v>beat_07_church</x:v>
      </x:c>
      <x:c r="N7" s="46" t="b">
        <x:v>1</x:v>
      </x:c>
      <x:c r="O7" s="45" t="str">
        <x:v>locked</x:v>
      </x:c>
      <x:c r="P7" s="47" t="b">
        <x:v>1</x:v>
      </x:c>
    </x:row>
    <x:row r="8">
      <x:c r="A8" s="44" t="str">
        <x:v>beat_07_church</x:v>
      </x:c>
      <x:c r="B8" s="45" t="str">
        <x:v>first_journey</x:v>
      </x:c>
      <x:c r="C8" s="45" t="n">
        <x:v>7</x:v>
      </x:c>
      <x:c r="D8" s="45" t="str">
        <x:v>scene_church_approach</x:v>
      </x:c>
      <x:c r="E8" s="45" t="str">
        <x:v>church</x:v>
      </x:c>
      <x:c r="F8" s="45" t="str">
        <x:v>location_intro</x:v>
      </x:c>
      <x:c r="G8" s="45" t="str">
        <x:v>beat_church_intro</x:v>
      </x:c>
      <x:c r="H8" s="45" t="str">
        <x:v>dlg_church</x:v>
      </x:c>
      <x:c r="I8" s="45" t="str">
        <x:v>vo_church</x:v>
      </x:c>
      <x:c r="J8" s="45" t="str">
        <x:v>church_first_interaction</x:v>
      </x:c>
      <x:c r="K8" s="45" t="str">
        <x:v>rule_first_candle</x:v>
      </x:c>
      <x:c r="L8" s="46" t="b">
        <x:v>1</x:v>
      </x:c>
      <x:c r="M8" s="45" t="str">
        <x:v>beat_08_cafe</x:v>
      </x:c>
      <x:c r="N8" s="46" t="b">
        <x:v>1</x:v>
      </x:c>
      <x:c r="O8" s="45" t="str">
        <x:v>locked</x:v>
      </x:c>
      <x:c r="P8" s="47" t="b">
        <x:v>1</x:v>
      </x:c>
    </x:row>
    <x:row r="9">
      <x:c r="A9" s="44" t="str">
        <x:v>beat_08_cafe</x:v>
      </x:c>
      <x:c r="B9" s="45" t="str">
        <x:v>first_journey</x:v>
      </x:c>
      <x:c r="C9" s="45" t="n">
        <x:v>8</x:v>
      </x:c>
      <x:c r="D9" s="45" t="str">
        <x:v>scene_cafe_approach</x:v>
      </x:c>
      <x:c r="E9" s="45" t="str">
        <x:v>cafe</x:v>
      </x:c>
      <x:c r="F9" s="45" t="str">
        <x:v>location_intro</x:v>
      </x:c>
      <x:c r="G9" s="45" t="str">
        <x:v>beat_cafe_intro</x:v>
      </x:c>
      <x:c r="H9" s="45" t="str">
        <x:v>dlg_cafe</x:v>
      </x:c>
      <x:c r="I9" s="45" t="str">
        <x:v>vo_cafe</x:v>
      </x:c>
      <x:c r="J9" s="45" t="str">
        <x:v>cafe_first_interaction</x:v>
      </x:c>
      <x:c r="K9" s="45" t="str">
        <x:v>rule_first_music</x:v>
      </x:c>
      <x:c r="L9" s="46" t="b">
        <x:v>1</x:v>
      </x:c>
      <x:c r="M9" s="45" t="str">
        <x:v>beat_09_walkman</x:v>
      </x:c>
      <x:c r="N9" s="46" t="b">
        <x:v>1</x:v>
      </x:c>
      <x:c r="O9" s="45" t="str">
        <x:v>unlock</x:v>
      </x:c>
      <x:c r="P9" s="47" t="b">
        <x:v>1</x:v>
      </x:c>
    </x:row>
    <x:row r="10">
      <x:c r="A10" s="44" t="str">
        <x:v>beat_09_walkman</x:v>
      </x:c>
      <x:c r="B10" s="45" t="str">
        <x:v>first_journey</x:v>
      </x:c>
      <x:c r="C10" s="45" t="n">
        <x:v>9</x:v>
      </x:c>
      <x:c r="D10" s="45" t="str">
        <x:v>scene_cafe_approach</x:v>
      </x:c>
      <x:c r="E10" s="45" t="str">
        <x:v>cafe</x:v>
      </x:c>
      <x:c r="F10" s="45" t="str">
        <x:v>unlock</x:v>
      </x:c>
      <x:c r="G10" s="45" t="str">
        <x:v>beat_walkman</x:v>
      </x:c>
      <x:c r="H10" s="45" t="str">
        <x:v>dlg_walkman</x:v>
      </x:c>
      <x:c r="I10" s="45" t="str">
        <x:v>vo_walkman</x:v>
      </x:c>
      <x:c r="J10" s="45" t="str">
        <x:v>walkman_receive</x:v>
      </x:c>
      <x:c r="K10" s="45" t="str"/>
      <x:c r="L10" s="46" t="b">
        <x:v>1</x:v>
      </x:c>
      <x:c r="M10" s="45" t="str">
        <x:v>beat_10_arcade</x:v>
      </x:c>
      <x:c r="N10" s="46" t="b">
        <x:v>1</x:v>
      </x:c>
      <x:c r="O10" s="45" t="str">
        <x:v>available</x:v>
      </x:c>
      <x:c r="P10" s="47" t="b">
        <x:v>1</x:v>
      </x:c>
    </x:row>
    <x:row r="11">
      <x:c r="A11" s="44" t="str">
        <x:v>beat_10_arcade</x:v>
      </x:c>
      <x:c r="B11" s="45" t="str">
        <x:v>first_journey</x:v>
      </x:c>
      <x:c r="C11" s="45" t="n">
        <x:v>10</x:v>
      </x:c>
      <x:c r="D11" s="45" t="str">
        <x:v>scene_arcade_approach</x:v>
      </x:c>
      <x:c r="E11" s="45" t="str">
        <x:v>arcade</x:v>
      </x:c>
      <x:c r="F11" s="45" t="str">
        <x:v>location_intro</x:v>
      </x:c>
      <x:c r="G11" s="45" t="str">
        <x:v>beat_arcade_intro</x:v>
      </x:c>
      <x:c r="H11" s="45" t="str">
        <x:v>dlg_arcade</x:v>
      </x:c>
      <x:c r="I11" s="45" t="str">
        <x:v>vo_arcade</x:v>
      </x:c>
      <x:c r="J11" s="45" t="str">
        <x:v>arcade_intro_game</x:v>
      </x:c>
      <x:c r="K11" s="45" t="str">
        <x:v>rule_first_token</x:v>
      </x:c>
      <x:c r="L11" s="46" t="b">
        <x:v>1</x:v>
      </x:c>
      <x:c r="M11" s="45" t="str">
        <x:v>beat_11_cottage</x:v>
      </x:c>
      <x:c r="N11" s="46" t="b">
        <x:v>1</x:v>
      </x:c>
      <x:c r="O11" s="45" t="str">
        <x:v>available</x:v>
      </x:c>
      <x:c r="P11" s="47" t="b">
        <x:v>1</x:v>
      </x:c>
    </x:row>
    <x:row r="12">
      <x:c r="A12" s="44" t="str">
        <x:v>beat_11_cottage</x:v>
      </x:c>
      <x:c r="B12" s="45" t="str">
        <x:v>first_journey</x:v>
      </x:c>
      <x:c r="C12" s="45" t="n">
        <x:v>11</x:v>
      </x:c>
      <x:c r="D12" s="45" t="str">
        <x:v>scene_cottage_approach</x:v>
      </x:c>
      <x:c r="E12" s="45" t="str">
        <x:v>cottage</x:v>
      </x:c>
      <x:c r="F12" s="45" t="str">
        <x:v>location_intro</x:v>
      </x:c>
      <x:c r="G12" s="45" t="str">
        <x:v>beat_cottage_intro</x:v>
      </x:c>
      <x:c r="H12" s="45" t="str">
        <x:v>dlg_cottage</x:v>
      </x:c>
      <x:c r="I12" s="45" t="str">
        <x:v>vo_cottage</x:v>
      </x:c>
      <x:c r="J12" s="45" t="str">
        <x:v>cottage_enter</x:v>
      </x:c>
      <x:c r="K12" s="45" t="str"/>
      <x:c r="L12" s="46" t="b">
        <x:v>1</x:v>
      </x:c>
      <x:c r="M12" s="45" t="str">
        <x:v>beat_12_marcelino</x:v>
      </x:c>
      <x:c r="N12" s="46" t="b">
        <x:v>1</x:v>
      </x:c>
      <x:c r="O12" s="45" t="str">
        <x:v>available</x:v>
      </x:c>
      <x:c r="P12" s="47" t="b">
        <x:v>1</x:v>
      </x:c>
    </x:row>
    <x:row r="13">
      <x:c r="A13" s="44" t="str">
        <x:v>beat_12_marcelino</x:v>
      </x:c>
      <x:c r="B13" s="45" t="str">
        <x:v>first_journey</x:v>
      </x:c>
      <x:c r="C13" s="45" t="n">
        <x:v>12</x:v>
      </x:c>
      <x:c r="D13" s="45" t="str">
        <x:v>scene_cottage_approach</x:v>
      </x:c>
      <x:c r="E13" s="45" t="str">
        <x:v>cottage</x:v>
      </x:c>
      <x:c r="F13" s="45" t="str">
        <x:v>delivery</x:v>
      </x:c>
      <x:c r="G13" s="45" t="str">
        <x:v>beat_marcelino</x:v>
      </x:c>
      <x:c r="H13" s="45" t="str">
        <x:v>dlg_marcelino</x:v>
      </x:c>
      <x:c r="I13" s="45" t="str">
        <x:v>vo_marcelino</x:v>
      </x:c>
      <x:c r="J13" s="45" t="str">
        <x:v>first_message_delivery</x:v>
      </x:c>
      <x:c r="K13" s="45" t="str">
        <x:v>rule_first_letter</x:v>
      </x:c>
      <x:c r="L13" s="46" t="b">
        <x:v>1</x:v>
      </x:c>
      <x:c r="M13" s="45" t="str">
        <x:v>beat_13_message</x:v>
      </x:c>
      <x:c r="N13" s="46" t="b">
        <x:v>1</x:v>
      </x:c>
      <x:c r="O13" s="45" t="str">
        <x:v>available</x:v>
      </x:c>
      <x:c r="P13" s="47" t="b">
        <x:v>1</x:v>
      </x:c>
    </x:row>
    <x:row r="14">
      <x:c r="A14" s="44" t="str">
        <x:v>beat_13_message</x:v>
      </x:c>
      <x:c r="B14" s="45" t="str">
        <x:v>first_journey</x:v>
      </x:c>
      <x:c r="C14" s="45" t="n">
        <x:v>13</x:v>
      </x:c>
      <x:c r="D14" s="45" t="str">
        <x:v>scene_cottage_approach</x:v>
      </x:c>
      <x:c r="E14" s="45" t="str">
        <x:v>cottage</x:v>
      </x:c>
      <x:c r="F14" s="45" t="str">
        <x:v>message</x:v>
      </x:c>
      <x:c r="G14" s="45" t="str">
        <x:v>beat_ahmed_message</x:v>
      </x:c>
      <x:c r="H14" s="45" t="str">
        <x:v>dlg_first_message</x:v>
      </x:c>
      <x:c r="I14" s="45" t="str">
        <x:v>vo_first_message</x:v>
      </x:c>
      <x:c r="J14" s="45" t="str">
        <x:v>open_first_message</x:v>
      </x:c>
      <x:c r="K14" s="45" t="str"/>
      <x:c r="L14" s="46" t="b">
        <x:v>1</x:v>
      </x:c>
      <x:c r="M14" s="45" t="str">
        <x:v>beat_14_farm</x:v>
      </x:c>
      <x:c r="N14" s="46" t="b">
        <x:v>1</x:v>
      </x:c>
      <x:c r="O14" s="45" t="str">
        <x:v>available</x:v>
      </x:c>
      <x:c r="P14" s="47" t="b">
        <x:v>1</x:v>
      </x:c>
    </x:row>
    <x:row r="15">
      <x:c r="A15" s="44" t="str">
        <x:v>beat_14_farm</x:v>
      </x:c>
      <x:c r="B15" s="45" t="str">
        <x:v>first_journey</x:v>
      </x:c>
      <x:c r="C15" s="45" t="n">
        <x:v>14</x:v>
      </x:c>
      <x:c r="D15" s="45" t="str">
        <x:v>scene_farm_approach</x:v>
      </x:c>
      <x:c r="E15" s="45" t="str">
        <x:v>farm</x:v>
      </x:c>
      <x:c r="F15" s="45" t="str">
        <x:v>location_intro</x:v>
      </x:c>
      <x:c r="G15" s="45" t="str">
        <x:v>beat_farm_intro</x:v>
      </x:c>
      <x:c r="H15" s="45" t="str">
        <x:v>dlg_farm</x:v>
      </x:c>
      <x:c r="I15" s="45" t="str">
        <x:v>vo_farm</x:v>
      </x:c>
      <x:c r="J15" s="45" t="str">
        <x:v>farm_first_interaction</x:v>
      </x:c>
      <x:c r="K15" s="45" t="str">
        <x:v>rule_first_sunflower</x:v>
      </x:c>
      <x:c r="L15" s="46" t="b">
        <x:v>1</x:v>
      </x:c>
      <x:c r="M15" s="45" t="str">
        <x:v>beat_15_museum_approach</x:v>
      </x:c>
      <x:c r="N15" s="46" t="b">
        <x:v>1</x:v>
      </x:c>
      <x:c r="O15" s="45" t="str">
        <x:v>available</x:v>
      </x:c>
      <x:c r="P15" s="47" t="b">
        <x:v>1</x:v>
      </x:c>
    </x:row>
    <x:row r="16">
      <x:c r="A16" s="44" t="str">
        <x:v>beat_15_museum_approach</x:v>
      </x:c>
      <x:c r="B16" s="45" t="str">
        <x:v>first_journey</x:v>
      </x:c>
      <x:c r="C16" s="45" t="n">
        <x:v>15</x:v>
      </x:c>
      <x:c r="D16" s="45" t="str">
        <x:v>scene_museum_approach</x:v>
      </x:c>
      <x:c r="E16" s="45" t="str">
        <x:v>museum</x:v>
      </x:c>
      <x:c r="F16" s="45" t="str">
        <x:v>unlock</x:v>
      </x:c>
      <x:c r="G16" s="45" t="str">
        <x:v>beat_museum_approach</x:v>
      </x:c>
      <x:c r="H16" s="45" t="str">
        <x:v>dlg_museum</x:v>
      </x:c>
      <x:c r="I16" s="45" t="str">
        <x:v>vo_museum</x:v>
      </x:c>
      <x:c r="J16" s="45" t="str">
        <x:v>museum_key_check</x:v>
      </x:c>
      <x:c r="K16" s="45" t="str">
        <x:v>rule_museum_unlock</x:v>
      </x:c>
      <x:c r="L16" s="46" t="b">
        <x:v>1</x:v>
      </x:c>
      <x:c r="M16" s="45" t="str">
        <x:v>beat_16_hall</x:v>
      </x:c>
      <x:c r="N16" s="46" t="b">
        <x:v>1</x:v>
      </x:c>
      <x:c r="O16" s="45" t="str">
        <x:v>reduced</x:v>
      </x:c>
      <x:c r="P16" s="47" t="b">
        <x:v>1</x:v>
      </x:c>
    </x:row>
    <x:row r="17">
      <x:c r="A17" s="44" t="str">
        <x:v>beat_16_hall</x:v>
      </x:c>
      <x:c r="B17" s="45" t="str">
        <x:v>first_journey</x:v>
      </x:c>
      <x:c r="C17" s="45" t="n">
        <x:v>16</x:v>
      </x:c>
      <x:c r="D17" s="45" t="str">
        <x:v>scene_museum_hall</x:v>
      </x:c>
      <x:c r="E17" s="45" t="str">
        <x:v>museum</x:v>
      </x:c>
      <x:c r="F17" s="45" t="str">
        <x:v>location_intro</x:v>
      </x:c>
      <x:c r="G17" s="45" t="str">
        <x:v>beat_hall_intro</x:v>
      </x:c>
      <x:c r="H17" s="45" t="str">
        <x:v>dlg_hall</x:v>
      </x:c>
      <x:c r="I17" s="45" t="str">
        <x:v>vo_hall</x:v>
      </x:c>
      <x:c r="J17" s="45" t="str">
        <x:v>hall_artifact_view</x:v>
      </x:c>
      <x:c r="K17" s="45" t="str"/>
      <x:c r="L17" s="46" t="b">
        <x:v>1</x:v>
      </x:c>
      <x:c r="M17" s="45" t="str">
        <x:v>beat_17_map_unlock</x:v>
      </x:c>
      <x:c r="N17" s="46" t="b">
        <x:v>1</x:v>
      </x:c>
      <x:c r="O17" s="45" t="str">
        <x:v>reduced</x:v>
      </x:c>
      <x:c r="P17" s="47" t="b">
        <x:v>1</x:v>
      </x:c>
    </x:row>
    <x:row r="18">
      <x:c r="A18" s="44" t="str">
        <x:v>beat_17_map_unlock</x:v>
      </x:c>
      <x:c r="B18" s="45" t="str">
        <x:v>first_journey</x:v>
      </x:c>
      <x:c r="C18" s="45" t="n">
        <x:v>17</x:v>
      </x:c>
      <x:c r="D18" s="45" t="str">
        <x:v>scene_museum_hall</x:v>
      </x:c>
      <x:c r="E18" s="45" t="str">
        <x:v>museum</x:v>
      </x:c>
      <x:c r="F18" s="45" t="str">
        <x:v>unlock</x:v>
      </x:c>
      <x:c r="G18" s="45" t="str">
        <x:v>beat_map_unlock</x:v>
      </x:c>
      <x:c r="H18" s="45" t="str">
        <x:v>dlg_map_unlock</x:v>
      </x:c>
      <x:c r="I18" s="45" t="str">
        <x:v>vo_map_unlock</x:v>
      </x:c>
      <x:c r="J18" s="45" t="str">
        <x:v>map_receive</x:v>
      </x:c>
      <x:c r="K18" s="45" t="str"/>
      <x:c r="L18" s="46" t="b">
        <x:v>1</x:v>
      </x:c>
      <x:c r="M18" s="45" t="str">
        <x:v>beat_18_complete</x:v>
      </x:c>
      <x:c r="N18" s="46" t="b">
        <x:v>0</x:v>
      </x:c>
      <x:c r="O18" s="45" t="str">
        <x:v>reduced</x:v>
      </x:c>
      <x:c r="P18" s="47" t="b">
        <x:v>1</x:v>
      </x:c>
    </x:row>
    <x:row r="19">
      <x:c r="A19" s="48" t="str">
        <x:v>beat_18_complete</x:v>
      </x:c>
      <x:c r="B19" s="49" t="str">
        <x:v>first_journey</x:v>
      </x:c>
      <x:c r="C19" s="49" t="n">
        <x:v>18</x:v>
      </x:c>
      <x:c r="D19" s="49" t="str">
        <x:v>scene_map</x:v>
      </x:c>
      <x:c r="E19" s="49" t="str">
        <x:v>map</x:v>
      </x:c>
      <x:c r="F19" s="49" t="str">
        <x:v>completion</x:v>
      </x:c>
      <x:c r="G19" s="49" t="str">
        <x:v>beat_freedom</x:v>
      </x:c>
      <x:c r="H19" s="49" t="str">
        <x:v>dlg_freedom</x:v>
      </x:c>
      <x:c r="I19" s="49" t="str">
        <x:v>vo_freedom</x:v>
      </x:c>
      <x:c r="J19" s="49" t="str">
        <x:v>map_open</x:v>
      </x:c>
      <x:c r="K19" s="49" t="str"/>
      <x:c r="L19" s="50" t="b">
        <x:v>1</x:v>
      </x:c>
      <x:c r="M19" s="49" t="str"/>
      <x:c r="N19" s="50" t="b">
        <x:v>0</x:v>
      </x:c>
      <x:c r="O19" s="49" t="str">
        <x:v>available</x:v>
      </x:c>
      <x:c r="P19" s="51" t="b">
        <x:v>1</x:v>
      </x:c>
    </x:row>
  </x:sheetData>
  <x:conditionalFormatting sqref="P2:P5000">
    <x:cfRule type="cellIs" dxfId="20" priority="1" operator="equal">
      <x:formula>FALSE</x:formula>
    </x:cfRule>
    <x:cfRule type="cellIs" dxfId="21" priority="2" operator="equal">
      <x:formula>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64e0d362311482a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16" hidden="0" customWidth="1"/>
    <x:col min="5" max="5" width="24" hidden="0" customWidth="1"/>
    <x:col min="6" max="6" width="16" hidden="0" customWidth="1"/>
    <x:col min="7" max="7" width="38" hidden="0" customWidth="1"/>
    <x:col min="8" max="8" width="16" hidden="0" customWidth="1"/>
    <x:col min="9" max="9" width="16" hidden="0" customWidth="1"/>
    <x:col min="10" max="10" width="16" hidden="0" customWidth="1"/>
    <x:col min="11" max="11" width="24" hidden="0" customWidth="1"/>
    <x:col min="12" max="12" width="16" hidden="0" customWidth="1"/>
    <x:col min="13" max="13" width="16" hidden="0" customWidth="1"/>
    <x:col min="14" max="14" width="24" hidden="0" customWidth="1"/>
    <x:col min="15" max="15" width="16" hidden="0" customWidth="1"/>
  </x:cols>
  <x:sheetData>
    <x:row r="1" ht="34" customHeight="1">
      <x:c r="A1" s="11" t="str">
        <x:v>dialogue_row_id</x:v>
      </x:c>
      <x:c r="B1" s="12" t="str">
        <x:v>dialogue_id</x:v>
      </x:c>
      <x:c r="C1" s="12" t="str">
        <x:v>group_id</x:v>
      </x:c>
      <x:c r="D1" s="12" t="str">
        <x:v>sequence</x:v>
      </x:c>
      <x:c r="E1" s="12" t="str">
        <x:v>speaker_id</x:v>
      </x:c>
      <x:c r="F1" s="12" t="str">
        <x:v>locale</x:v>
      </x:c>
      <x:c r="G1" s="12" t="str">
        <x:v>text</x:v>
      </x:c>
      <x:c r="H1" s="12" t="str">
        <x:v>direction</x:v>
      </x:c>
      <x:c r="I1" s="12" t="str">
        <x:v>emotion</x:v>
      </x:c>
      <x:c r="J1" s="12" t="str">
        <x:v>display_mode</x:v>
      </x:c>
      <x:c r="K1" s="12" t="str">
        <x:v>voiceover_id</x:v>
      </x:c>
      <x:c r="L1" s="12" t="str">
        <x:v>requires_response</x:v>
      </x:c>
      <x:c r="M1" s="12" t="str">
        <x:v>response_type</x:v>
      </x:c>
      <x:c r="N1" s="12" t="str">
        <x:v>next_dialogue_id</x:v>
      </x:c>
      <x:c r="O1" s="13" t="str">
        <x:v>enabled</x:v>
      </x:c>
    </x:row>
    <x:row r="2">
      <x:c r="A2" s="40" t="str">
        <x:v>dlg_gate_01_en</x:v>
      </x:c>
      <x:c r="B2" s="41" t="str">
        <x:v>dlg_gate_01</x:v>
      </x:c>
      <x:c r="C2" s="41" t="str">
        <x:v>dlg_gate</x:v>
      </x:c>
      <x:c r="D2" s="41" t="n">
        <x:v>1</x:v>
      </x:c>
      <x:c r="E2" s="41" t="str">
        <x:v>var</x:v>
      </x:c>
      <x:c r="F2" s="41" t="str">
        <x:v>en</x:v>
      </x:c>
      <x:c r="G2" s="41" t="str">
        <x:v>You made it. I knew you would.</x:v>
      </x:c>
      <x:c r="H2" s="41" t="str">
        <x:v>ltr</x:v>
      </x:c>
      <x:c r="I2" s="41" t="str">
        <x:v>warm</x:v>
      </x:c>
      <x:c r="J2" s="41" t="str">
        <x:v>speech_bubble</x:v>
      </x:c>
      <x:c r="K2" s="41" t="str">
        <x:v>vo_gate_01_en</x:v>
      </x:c>
      <x:c r="L2" s="42" t="b">
        <x:v>0</x:v>
      </x:c>
      <x:c r="M2" s="41" t="str">
        <x:v>none</x:v>
      </x:c>
      <x:c r="N2" s="41" t="str"/>
      <x:c r="O2" s="43" t="b">
        <x:v>1</x:v>
      </x:c>
    </x:row>
    <x:row r="3">
      <x:c r="A3" s="44" t="str">
        <x:v>dlg_gate_01_ar</x:v>
      </x:c>
      <x:c r="B3" s="45" t="str">
        <x:v>dlg_gate_01</x:v>
      </x:c>
      <x:c r="C3" s="45" t="str">
        <x:v>dlg_gate</x:v>
      </x:c>
      <x:c r="D3" s="45" t="n">
        <x:v>1</x:v>
      </x:c>
      <x:c r="E3" s="45" t="str">
        <x:v>var</x:v>
      </x:c>
      <x:c r="F3" s="45" t="str">
        <x:v>ar-EG</x:v>
      </x:c>
      <x:c r="G3" s="45" t="str">
        <x:v>وصلتي أخيرًا… كنت عارفة إنك هتيجي.</x:v>
      </x:c>
      <x:c r="H3" s="45" t="str">
        <x:v>rtl</x:v>
      </x:c>
      <x:c r="I3" s="45" t="str">
        <x:v>warm</x:v>
      </x:c>
      <x:c r="J3" s="45" t="str">
        <x:v>speech_bubble</x:v>
      </x:c>
      <x:c r="K3" s="45" t="str">
        <x:v>vo_gate_01_ar</x:v>
      </x:c>
      <x:c r="L3" s="46" t="b">
        <x:v>0</x:v>
      </x:c>
      <x:c r="M3" s="45" t="str">
        <x:v>none</x:v>
      </x:c>
      <x:c r="N3" s="45" t="str"/>
      <x:c r="O3" s="47" t="b">
        <x:v>1</x:v>
      </x:c>
    </x:row>
    <x:row r="4">
      <x:c r="A4" s="44" t="str">
        <x:v>dlg_gate_01_it</x:v>
      </x:c>
      <x:c r="B4" s="45" t="str">
        <x:v>dlg_gate_01</x:v>
      </x:c>
      <x:c r="C4" s="45" t="str">
        <x:v>dlg_gate</x:v>
      </x:c>
      <x:c r="D4" s="45" t="n">
        <x:v>1</x:v>
      </x:c>
      <x:c r="E4" s="45" t="str">
        <x:v>var</x:v>
      </x:c>
      <x:c r="F4" s="45" t="str">
        <x:v>it</x:v>
      </x:c>
      <x:c r="G4" s="45" t="str">
        <x:v>Sei arrivata. Sapevo che ce l'avresti fatta.</x:v>
      </x:c>
      <x:c r="H4" s="45" t="str">
        <x:v>ltr</x:v>
      </x:c>
      <x:c r="I4" s="45" t="str">
        <x:v>warm</x:v>
      </x:c>
      <x:c r="J4" s="45" t="str">
        <x:v>speech_bubble</x:v>
      </x:c>
      <x:c r="K4" s="45" t="str">
        <x:v>vo_gate_01_it</x:v>
      </x:c>
      <x:c r="L4" s="46" t="b">
        <x:v>0</x:v>
      </x:c>
      <x:c r="M4" s="45" t="str">
        <x:v>none</x:v>
      </x:c>
      <x:c r="N4" s="45" t="str"/>
      <x:c r="O4" s="47" t="b">
        <x:v>1</x:v>
      </x:c>
    </x:row>
    <x:row r="5">
      <x:c r="A5" s="44" t="str">
        <x:v>dlg_gate_01_el</x:v>
      </x:c>
      <x:c r="B5" s="45" t="str">
        <x:v>dlg_gate_01</x:v>
      </x:c>
      <x:c r="C5" s="45" t="str">
        <x:v>dlg_gate</x:v>
      </x:c>
      <x:c r="D5" s="45" t="n">
        <x:v>1</x:v>
      </x:c>
      <x:c r="E5" s="45" t="str">
        <x:v>var</x:v>
      </x:c>
      <x:c r="F5" s="45" t="str">
        <x:v>el</x:v>
      </x:c>
      <x:c r="G5" s="45" t="str">
        <x:v>Τα κατάφερες. Ήξερα ότι θα ερχόσουν.</x:v>
      </x:c>
      <x:c r="H5" s="45" t="str">
        <x:v>ltr</x:v>
      </x:c>
      <x:c r="I5" s="45" t="str">
        <x:v>warm</x:v>
      </x:c>
      <x:c r="J5" s="45" t="str">
        <x:v>speech_bubble</x:v>
      </x:c>
      <x:c r="K5" s="45" t="str">
        <x:v>vo_gate_01_el</x:v>
      </x:c>
      <x:c r="L5" s="46" t="b">
        <x:v>0</x:v>
      </x:c>
      <x:c r="M5" s="45" t="str">
        <x:v>none</x:v>
      </x:c>
      <x:c r="N5" s="45" t="str"/>
      <x:c r="O5" s="47" t="b">
        <x:v>1</x:v>
      </x:c>
    </x:row>
    <x:row r="6">
      <x:c r="A6" s="44" t="str">
        <x:v>dlg_gate_01_fr</x:v>
      </x:c>
      <x:c r="B6" s="45" t="str">
        <x:v>dlg_gate_01</x:v>
      </x:c>
      <x:c r="C6" s="45" t="str">
        <x:v>dlg_gate</x:v>
      </x:c>
      <x:c r="D6" s="45" t="n">
        <x:v>1</x:v>
      </x:c>
      <x:c r="E6" s="45" t="str">
        <x:v>var</x:v>
      </x:c>
      <x:c r="F6" s="45" t="str">
        <x:v>fr</x:v>
      </x:c>
      <x:c r="G6" s="45" t="str">
        <x:v>Tu es arrivée. Je savais que tu viendrais.</x:v>
      </x:c>
      <x:c r="H6" s="45" t="str">
        <x:v>ltr</x:v>
      </x:c>
      <x:c r="I6" s="45" t="str">
        <x:v>warm</x:v>
      </x:c>
      <x:c r="J6" s="45" t="str">
        <x:v>speech_bubble</x:v>
      </x:c>
      <x:c r="K6" s="45" t="str">
        <x:v>vo_gate_01_fr</x:v>
      </x:c>
      <x:c r="L6" s="46" t="b">
        <x:v>0</x:v>
      </x:c>
      <x:c r="M6" s="45" t="str">
        <x:v>none</x:v>
      </x:c>
      <x:c r="N6" s="45" t="str"/>
      <x:c r="O6" s="47" t="b">
        <x:v>1</x:v>
      </x:c>
    </x:row>
    <x:row r="7">
      <x:c r="A7" s="44" t="str">
        <x:v>dlg_name_01_en</x:v>
      </x:c>
      <x:c r="B7" s="45" t="str">
        <x:v>dlg_name_01</x:v>
      </x:c>
      <x:c r="C7" s="45" t="str">
        <x:v>dlg_naming</x:v>
      </x:c>
      <x:c r="D7" s="45" t="n">
        <x:v>1</x:v>
      </x:c>
      <x:c r="E7" s="45" t="str">
        <x:v>var</x:v>
      </x:c>
      <x:c r="F7" s="45" t="str">
        <x:v>en</x:v>
      </x:c>
      <x:c r="G7" s="45" t="str">
        <x:v>I won't tell you my name. I think you should choose it.</x:v>
      </x:c>
      <x:c r="H7" s="45" t="str">
        <x:v>ltr</x:v>
      </x:c>
      <x:c r="I7" s="45" t="str">
        <x:v>playful</x:v>
      </x:c>
      <x:c r="J7" s="45" t="str">
        <x:v>speech_bubble</x:v>
      </x:c>
      <x:c r="K7" s="45" t="str">
        <x:v>vo_name_01_en</x:v>
      </x:c>
      <x:c r="L7" s="46" t="b">
        <x:v>1</x:v>
      </x:c>
      <x:c r="M7" s="45" t="str">
        <x:v>name_and_gender</x:v>
      </x:c>
      <x:c r="N7" s="45" t="str"/>
      <x:c r="O7" s="47" t="b">
        <x:v>1</x:v>
      </x:c>
    </x:row>
    <x:row r="8">
      <x:c r="A8" s="48" t="str">
        <x:v>dlg_name_01_ar</x:v>
      </x:c>
      <x:c r="B8" s="49" t="str">
        <x:v>dlg_name_01</x:v>
      </x:c>
      <x:c r="C8" s="49" t="str">
        <x:v>dlg_naming</x:v>
      </x:c>
      <x:c r="D8" s="49" t="n">
        <x:v>1</x:v>
      </x:c>
      <x:c r="E8" s="49" t="str">
        <x:v>var</x:v>
      </x:c>
      <x:c r="F8" s="49" t="str">
        <x:v>ar-EG</x:v>
      </x:c>
      <x:c r="G8" s="49" t="str">
        <x:v>مش هقولك اسمي… أنا شايفة إنك إنتِ اللي تختاريه.</x:v>
      </x:c>
      <x:c r="H8" s="49" t="str">
        <x:v>rtl</x:v>
      </x:c>
      <x:c r="I8" s="49" t="str">
        <x:v>playful</x:v>
      </x:c>
      <x:c r="J8" s="49" t="str">
        <x:v>speech_bubble</x:v>
      </x:c>
      <x:c r="K8" s="49" t="str">
        <x:v>vo_name_01_ar</x:v>
      </x:c>
      <x:c r="L8" s="50" t="b">
        <x:v>1</x:v>
      </x:c>
      <x:c r="M8" s="49" t="str">
        <x:v>name_and_gender</x:v>
      </x:c>
      <x:c r="N8" s="49" t="str"/>
      <x:c r="O8" s="51" t="b">
        <x:v>1</x:v>
      </x:c>
    </x:row>
  </x:sheetData>
  <x:conditionalFormatting sqref="O2:O5000">
    <x:cfRule type="cellIs" dxfId="22" priority="1" operator="equal">
      <x:formula>FALSE</x:formula>
    </x:cfRule>
    <x:cfRule type="cellIs" dxfId="23" priority="2" operator="equal">
      <x:formula>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4f906b8fa984a0a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24" hidden="0" customWidth="1"/>
    <x:col min="4" max="4" width="16" hidden="0" customWidth="1"/>
    <x:col min="5" max="5" width="32" hidden="0" customWidth="1"/>
    <x:col min="6" max="6" width="38" hidden="0" customWidth="1"/>
    <x:col min="7" max="7" width="16" hidden="0" customWidth="1"/>
    <x:col min="8" max="8" width="24" hidden="0" customWidth="1"/>
    <x:col min="9" max="9" width="16" hidden="0" customWidth="1"/>
    <x:col min="10" max="10" width="38" hidden="0" customWidth="1"/>
    <x:col min="11" max="11" width="38" hidden="0" customWidth="1"/>
    <x:col min="12" max="12" width="16" hidden="0" customWidth="1"/>
    <x:col min="13" max="13" width="34" hidden="0" customWidth="1"/>
  </x:cols>
  <x:sheetData>
    <x:row r="1" ht="34" customHeight="1">
      <x:c r="A1" s="11" t="str">
        <x:v>voiceover_id</x:v>
      </x:c>
      <x:c r="B1" s="12" t="str">
        <x:v>content_type</x:v>
      </x:c>
      <x:c r="C1" s="12" t="str">
        <x:v>content_id</x:v>
      </x:c>
      <x:c r="D1" s="12" t="str">
        <x:v>locale</x:v>
      </x:c>
      <x:c r="E1" s="12" t="str">
        <x:v>audio_asset_id</x:v>
      </x:c>
      <x:c r="F1" s="12" t="str">
        <x:v>caption_text</x:v>
      </x:c>
      <x:c r="G1" s="12" t="str">
        <x:v>direction</x:v>
      </x:c>
      <x:c r="H1" s="12" t="str">
        <x:v>voice_name</x:v>
      </x:c>
      <x:c r="I1" s="12" t="str">
        <x:v>duration_ms</x:v>
      </x:c>
      <x:c r="J1" s="12" t="str">
        <x:v>caption_start_ms</x:v>
      </x:c>
      <x:c r="K1" s="12" t="str">
        <x:v>caption_end_ms</x:v>
      </x:c>
      <x:c r="L1" s="12" t="str">
        <x:v>enabled</x:v>
      </x:c>
      <x:c r="M1" s="13" t="str">
        <x:v>notes</x:v>
      </x:c>
    </x:row>
    <x:row r="2">
      <x:c r="A2" s="40" t="str">
        <x:v>vo_gate_01_en</x:v>
      </x:c>
      <x:c r="B2" s="41" t="str">
        <x:v>dialogue</x:v>
      </x:c>
      <x:c r="C2" s="41" t="str">
        <x:v>dlg_gate_01</x:v>
      </x:c>
      <x:c r="D2" s="41" t="str">
        <x:v>en</x:v>
      </x:c>
      <x:c r="E2" s="41" t="str">
        <x:v>asset_vo_gate_01_en</x:v>
      </x:c>
      <x:c r="F2" s="41" t="str">
        <x:v>You made it. I knew you would.</x:v>
      </x:c>
      <x:c r="G2" s="41" t="str">
        <x:v>ltr</x:v>
      </x:c>
      <x:c r="H2" s="41" t="str">
        <x:v>VAR_EN</x:v>
      </x:c>
      <x:c r="I2" s="41" t="n">
        <x:v>2600</x:v>
      </x:c>
      <x:c r="J2" s="41" t="n">
        <x:v>0</x:v>
      </x:c>
      <x:c r="K2" s="41" t="n">
        <x:v>2600</x:v>
      </x:c>
      <x:c r="L2" s="42" t="b">
        <x:v>1</x:v>
      </x:c>
      <x:c r="M2" s="104" t="str">
        <x:v>Replace placeholder audio</x:v>
      </x:c>
    </x:row>
    <x:row r="3">
      <x:c r="A3" s="44" t="str">
        <x:v>vo_gate_01_ar</x:v>
      </x:c>
      <x:c r="B3" s="45" t="str">
        <x:v>dialogue</x:v>
      </x:c>
      <x:c r="C3" s="45" t="str">
        <x:v>dlg_gate_01</x:v>
      </x:c>
      <x:c r="D3" s="45" t="str">
        <x:v>ar-EG</x:v>
      </x:c>
      <x:c r="E3" s="45" t="str">
        <x:v>asset_vo_gate_01_ar</x:v>
      </x:c>
      <x:c r="F3" s="45" t="str">
        <x:v>وصلتي أخيرًا… كنت عارفة إنك هتيجي.</x:v>
      </x:c>
      <x:c r="G3" s="45" t="str">
        <x:v>rtl</x:v>
      </x:c>
      <x:c r="H3" s="45" t="str">
        <x:v>VAR_AR</x:v>
      </x:c>
      <x:c r="I3" s="45" t="n">
        <x:v>3000</x:v>
      </x:c>
      <x:c r="J3" s="45" t="n">
        <x:v>0</x:v>
      </x:c>
      <x:c r="K3" s="45" t="n">
        <x:v>3000</x:v>
      </x:c>
      <x:c r="L3" s="46" t="b">
        <x:v>1</x:v>
      </x:c>
      <x:c r="M3" s="105" t="str"/>
    </x:row>
    <x:row r="4">
      <x:c r="A4" s="44" t="str">
        <x:v>vo_gate_01_it</x:v>
      </x:c>
      <x:c r="B4" s="45" t="str">
        <x:v>dialogue</x:v>
      </x:c>
      <x:c r="C4" s="45" t="str">
        <x:v>dlg_gate_01</x:v>
      </x:c>
      <x:c r="D4" s="45" t="str">
        <x:v>it</x:v>
      </x:c>
      <x:c r="E4" s="45" t="str">
        <x:v>asset_vo_gate_01_it</x:v>
      </x:c>
      <x:c r="F4" s="45" t="str">
        <x:v>Sei arrivata. Sapevo che ce l'avresti fatta.</x:v>
      </x:c>
      <x:c r="G4" s="45" t="str">
        <x:v>ltr</x:v>
      </x:c>
      <x:c r="H4" s="45" t="str">
        <x:v>VAR_IT</x:v>
      </x:c>
      <x:c r="I4" s="45" t="n">
        <x:v>3000</x:v>
      </x:c>
      <x:c r="J4" s="45" t="n">
        <x:v>0</x:v>
      </x:c>
      <x:c r="K4" s="45" t="n">
        <x:v>3000</x:v>
      </x:c>
      <x:c r="L4" s="46" t="b">
        <x:v>1</x:v>
      </x:c>
      <x:c r="M4" s="105" t="str"/>
    </x:row>
    <x:row r="5">
      <x:c r="A5" s="44" t="str">
        <x:v>vo_gate_01_el</x:v>
      </x:c>
      <x:c r="B5" s="45" t="str">
        <x:v>dialogue</x:v>
      </x:c>
      <x:c r="C5" s="45" t="str">
        <x:v>dlg_gate_01</x:v>
      </x:c>
      <x:c r="D5" s="45" t="str">
        <x:v>el</x:v>
      </x:c>
      <x:c r="E5" s="45" t="str">
        <x:v>asset_vo_gate_01_el</x:v>
      </x:c>
      <x:c r="F5" s="45" t="str">
        <x:v>Τα κατάφερες. Ήξερα ότι θα ερχόσουν.</x:v>
      </x:c>
      <x:c r="G5" s="45" t="str">
        <x:v>ltr</x:v>
      </x:c>
      <x:c r="H5" s="45" t="str">
        <x:v>VAR_EL</x:v>
      </x:c>
      <x:c r="I5" s="45" t="n">
        <x:v>3200</x:v>
      </x:c>
      <x:c r="J5" s="45" t="n">
        <x:v>0</x:v>
      </x:c>
      <x:c r="K5" s="45" t="n">
        <x:v>3200</x:v>
      </x:c>
      <x:c r="L5" s="46" t="b">
        <x:v>1</x:v>
      </x:c>
      <x:c r="M5" s="105" t="str"/>
    </x:row>
    <x:row r="6">
      <x:c r="A6" s="44" t="str">
        <x:v>vo_gate_01_fr</x:v>
      </x:c>
      <x:c r="B6" s="45" t="str">
        <x:v>dialogue</x:v>
      </x:c>
      <x:c r="C6" s="45" t="str">
        <x:v>dlg_gate_01</x:v>
      </x:c>
      <x:c r="D6" s="45" t="str">
        <x:v>fr</x:v>
      </x:c>
      <x:c r="E6" s="45" t="str">
        <x:v>asset_vo_gate_01_fr</x:v>
      </x:c>
      <x:c r="F6" s="45" t="str">
        <x:v>Tu es arrivée. Je savais que tu viendrais.</x:v>
      </x:c>
      <x:c r="G6" s="45" t="str">
        <x:v>ltr</x:v>
      </x:c>
      <x:c r="H6" s="45" t="str">
        <x:v>VAR_FR</x:v>
      </x:c>
      <x:c r="I6" s="45" t="n">
        <x:v>3000</x:v>
      </x:c>
      <x:c r="J6" s="45" t="n">
        <x:v>0</x:v>
      </x:c>
      <x:c r="K6" s="45" t="n">
        <x:v>3000</x:v>
      </x:c>
      <x:c r="L6" s="46" t="b">
        <x:v>1</x:v>
      </x:c>
      <x:c r="M6" s="105" t="str"/>
    </x:row>
    <x:row r="7">
      <x:c r="A7" s="44" t="str">
        <x:v>vo_bday_greeting_en</x:v>
      </x:c>
      <x:c r="B7" s="45" t="str">
        <x:v>event</x:v>
      </x:c>
      <x:c r="C7" s="45" t="str">
        <x:v>birthday_2026</x:v>
      </x:c>
      <x:c r="D7" s="45" t="str">
        <x:v>en</x:v>
      </x:c>
      <x:c r="E7" s="45" t="str">
        <x:v>asset_vo_bday_greeting_en</x:v>
      </x:c>
      <x:c r="F7" s="45" t="str">
        <x:v>Happy birthday, Veoulla.</x:v>
      </x:c>
      <x:c r="G7" s="45" t="str">
        <x:v>ltr</x:v>
      </x:c>
      <x:c r="H7" s="45" t="str">
        <x:v>VAR_EN</x:v>
      </x:c>
      <x:c r="I7" s="45" t="n">
        <x:v>2200</x:v>
      </x:c>
      <x:c r="J7" s="45" t="n">
        <x:v>0</x:v>
      </x:c>
      <x:c r="K7" s="45" t="n">
        <x:v>2200</x:v>
      </x:c>
      <x:c r="L7" s="46" t="b">
        <x:v>1</x:v>
      </x:c>
      <x:c r="M7" s="105" t="str"/>
    </x:row>
    <x:row r="8">
      <x:c r="A8" s="44" t="str">
        <x:v>vo_bday_greeting_ar</x:v>
      </x:c>
      <x:c r="B8" s="45" t="str">
        <x:v>event</x:v>
      </x:c>
      <x:c r="C8" s="45" t="str">
        <x:v>birthday_2026</x:v>
      </x:c>
      <x:c r="D8" s="45" t="str">
        <x:v>ar-EG</x:v>
      </x:c>
      <x:c r="E8" s="45" t="str">
        <x:v>asset_vo_bday_greeting_ar</x:v>
      </x:c>
      <x:c r="F8" s="45" t="str">
        <x:v>كل سنة وإنتِ طيبة يا فيولا.</x:v>
      </x:c>
      <x:c r="G8" s="45" t="str">
        <x:v>rtl</x:v>
      </x:c>
      <x:c r="H8" s="45" t="str">
        <x:v>VAR_AR</x:v>
      </x:c>
      <x:c r="I8" s="45" t="n">
        <x:v>2500</x:v>
      </x:c>
      <x:c r="J8" s="45" t="n">
        <x:v>0</x:v>
      </x:c>
      <x:c r="K8" s="45" t="n">
        <x:v>2500</x:v>
      </x:c>
      <x:c r="L8" s="46" t="b">
        <x:v>1</x:v>
      </x:c>
      <x:c r="M8" s="105" t="str"/>
    </x:row>
    <x:row r="9">
      <x:c r="A9" s="44" t="str">
        <x:v>vo_bday_greeting_it</x:v>
      </x:c>
      <x:c r="B9" s="45" t="str">
        <x:v>event</x:v>
      </x:c>
      <x:c r="C9" s="45" t="str">
        <x:v>birthday_2026</x:v>
      </x:c>
      <x:c r="D9" s="45" t="str">
        <x:v>it</x:v>
      </x:c>
      <x:c r="E9" s="45" t="str">
        <x:v>asset_vo_bday_greeting_it</x:v>
      </x:c>
      <x:c r="F9" s="45" t="str">
        <x:v>Buon compleanno, Veoulla.</x:v>
      </x:c>
      <x:c r="G9" s="45" t="str">
        <x:v>ltr</x:v>
      </x:c>
      <x:c r="H9" s="45" t="str">
        <x:v>VAR_IT</x:v>
      </x:c>
      <x:c r="I9" s="45" t="n">
        <x:v>2300</x:v>
      </x:c>
      <x:c r="J9" s="45" t="n">
        <x:v>0</x:v>
      </x:c>
      <x:c r="K9" s="45" t="n">
        <x:v>2300</x:v>
      </x:c>
      <x:c r="L9" s="46" t="b">
        <x:v>1</x:v>
      </x:c>
      <x:c r="M9" s="105" t="str"/>
    </x:row>
    <x:row r="10">
      <x:c r="A10" s="44" t="str">
        <x:v>vo_bday_greeting_el</x:v>
      </x:c>
      <x:c r="B10" s="45" t="str">
        <x:v>event</x:v>
      </x:c>
      <x:c r="C10" s="45" t="str">
        <x:v>birthday_2026</x:v>
      </x:c>
      <x:c r="D10" s="45" t="str">
        <x:v>el</x:v>
      </x:c>
      <x:c r="E10" s="45" t="str">
        <x:v>asset_vo_bday_greeting_el</x:v>
      </x:c>
      <x:c r="F10" s="45" t="str">
        <x:v>Χρόνια πολλά, Veoulla.</x:v>
      </x:c>
      <x:c r="G10" s="45" t="str">
        <x:v>ltr</x:v>
      </x:c>
      <x:c r="H10" s="45" t="str">
        <x:v>VAR_EL</x:v>
      </x:c>
      <x:c r="I10" s="45" t="n">
        <x:v>2300</x:v>
      </x:c>
      <x:c r="J10" s="45" t="n">
        <x:v>0</x:v>
      </x:c>
      <x:c r="K10" s="45" t="n">
        <x:v>2300</x:v>
      </x:c>
      <x:c r="L10" s="46" t="b">
        <x:v>1</x:v>
      </x:c>
      <x:c r="M10" s="105" t="str"/>
    </x:row>
    <x:row r="11">
      <x:c r="A11" s="48" t="str">
        <x:v>vo_bday_greeting_fr</x:v>
      </x:c>
      <x:c r="B11" s="49" t="str">
        <x:v>event</x:v>
      </x:c>
      <x:c r="C11" s="49" t="str">
        <x:v>birthday_2026</x:v>
      </x:c>
      <x:c r="D11" s="49" t="str">
        <x:v>fr</x:v>
      </x:c>
      <x:c r="E11" s="49" t="str">
        <x:v>asset_vo_bday_greeting_fr</x:v>
      </x:c>
      <x:c r="F11" s="49" t="str">
        <x:v>Joyeux anniversaire, Veoulla.</x:v>
      </x:c>
      <x:c r="G11" s="49" t="str">
        <x:v>ltr</x:v>
      </x:c>
      <x:c r="H11" s="49" t="str">
        <x:v>VAR_FR</x:v>
      </x:c>
      <x:c r="I11" s="49" t="n">
        <x:v>2300</x:v>
      </x:c>
      <x:c r="J11" s="49" t="n">
        <x:v>0</x:v>
      </x:c>
      <x:c r="K11" s="49" t="n">
        <x:v>2300</x:v>
      </x:c>
      <x:c r="L11" s="50" t="b">
        <x:v>1</x:v>
      </x:c>
      <x:c r="M11" s="106" t="str"/>
    </x:row>
  </x:sheetData>
  <x:conditionalFormatting sqref="L2:L5000">
    <x:cfRule type="cellIs" dxfId="24" priority="1" operator="equal">
      <x:formula>FALSE</x:formula>
    </x:cfRule>
    <x:cfRule type="cellIs" dxfId="25" priority="2" operator="equal">
      <x:formula>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15dcd0bea1d49e1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6" hidden="0" customWidth="1"/>
    <x:col min="4" max="4" width="23" hidden="0" customWidth="1"/>
    <x:col min="5" max="5" width="16" hidden="0" customWidth="1"/>
    <x:col min="6" max="6" width="23" hidden="0" customWidth="1"/>
    <x:col min="7" max="7" width="23" hidden="0" customWidth="1"/>
    <x:col min="8" max="8" width="16" hidden="0" customWidth="1"/>
    <x:col min="9" max="9" width="24" hidden="0" customWidth="1"/>
    <x:col min="10" max="10" width="24" hidden="0" customWidth="1"/>
    <x:col min="11" max="11" width="16" hidden="0" customWidth="1"/>
    <x:col min="12" max="12" width="34" hidden="0" customWidth="1"/>
  </x:cols>
  <x:sheetData>
    <x:row r="1" ht="34" customHeight="1">
      <x:c r="A1" s="11" t="str">
        <x:v>event_id</x:v>
      </x:c>
      <x:c r="B1" s="12" t="str">
        <x:v>event_name</x:v>
      </x:c>
      <x:c r="C1" s="12" t="str">
        <x:v>event_type</x:v>
      </x:c>
      <x:c r="D1" s="12" t="str">
        <x:v>target_at</x:v>
      </x:c>
      <x:c r="E1" s="12" t="str">
        <x:v>time_zone</x:v>
      </x:c>
      <x:c r="F1" s="12" t="str">
        <x:v>start_at</x:v>
      </x:c>
      <x:c r="G1" s="12" t="str">
        <x:v>end_at</x:v>
      </x:c>
      <x:c r="H1" s="12" t="str">
        <x:v>enabled</x:v>
      </x:c>
      <x:c r="I1" s="12" t="str">
        <x:v>story_route_id</x:v>
      </x:c>
      <x:c r="J1" s="12" t="str">
        <x:v>force_flag_id</x:v>
      </x:c>
      <x:c r="K1" s="12" t="str">
        <x:v>replay_allowed</x:v>
      </x:c>
      <x:c r="L1" s="13" t="str">
        <x:v>notes</x:v>
      </x:c>
    </x:row>
    <x:row r="2">
      <x:c r="A2" s="113" t="str">
        <x:v>birthday_2026</x:v>
      </x:c>
      <x:c r="B2" s="114" t="str">
        <x:v>Veoulla Birthday 2026</x:v>
      </x:c>
      <x:c r="C2" s="114" t="str">
        <x:v>birthday</x:v>
      </x:c>
      <x:c r="D2" s="114" t="n">
        <x:v>46291</x:v>
      </x:c>
      <x:c r="E2" s="114" t="str">
        <x:v>Africa/Cairo</x:v>
      </x:c>
      <x:c r="F2" s="114" t="n">
        <x:v>46290</x:v>
      </x:c>
      <x:c r="G2" s="114" t="n">
        <x:v>46294</x:v>
      </x:c>
      <x:c r="H2" s="118" t="b">
        <x:v>1</x:v>
      </x:c>
      <x:c r="I2" s="114" t="str">
        <x:v>birthday_route</x:v>
      </x:c>
      <x:c r="J2" s="114" t="str">
        <x:v>force_birthday_story</x:v>
      </x:c>
      <x:c r="K2" s="118" t="b">
        <x:v>1</x:v>
      </x:c>
      <x:c r="L2" s="115" t="str">
        <x:v>Environmental phases + unmissable personal story</x:v>
      </x:c>
    </x:row>
  </x:sheetData>
  <x:conditionalFormatting sqref="H2:H5000">
    <x:cfRule type="cellIs" dxfId="26" priority="1" operator="equal">
      <x:formula>FALSE</x:formula>
    </x:cfRule>
    <x:cfRule type="cellIs" dxfId="27" priority="2" operator="equal">
      <x:formula>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e3bb2ac4119470f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16" hidden="0" customWidth="1"/>
    <x:col min="11" max="11" width="34" hidden="0" customWidth="1"/>
  </x:cols>
  <x:sheetData>
    <x:row r="1" ht="34" customHeight="1">
      <x:c r="A1" s="11" t="str">
        <x:v>phase_id</x:v>
      </x:c>
      <x:c r="B1" s="12" t="str">
        <x:v>event_id</x:v>
      </x:c>
      <x:c r="C1" s="12" t="str">
        <x:v>sequence</x:v>
      </x:c>
      <x:c r="D1" s="12" t="str">
        <x:v>start_offset_minutes</x:v>
      </x:c>
      <x:c r="E1" s="12" t="str">
        <x:v>end_offset_minutes</x:v>
      </x:c>
      <x:c r="F1" s="12" t="str">
        <x:v>phase_name</x:v>
      </x:c>
      <x:c r="G1" s="12" t="str">
        <x:v>visual_theme_id</x:v>
      </x:c>
      <x:c r="H1" s="12" t="str">
        <x:v>music_asset_id</x:v>
      </x:c>
      <x:c r="I1" s="12" t="str">
        <x:v>voiceover_group_id</x:v>
      </x:c>
      <x:c r="J1" s="12" t="str">
        <x:v>enabled</x:v>
      </x:c>
      <x:c r="K1" s="13" t="str">
        <x:v>notes</x:v>
      </x:c>
    </x:row>
    <x:row r="2">
      <x:c r="A2" s="40" t="str">
        <x:v>b0_ordinary</x:v>
      </x:c>
      <x:c r="B2" s="41" t="str">
        <x:v>birthday_2026</x:v>
      </x:c>
      <x:c r="C2" s="41" t="n">
        <x:v>0</x:v>
      </x:c>
      <x:c r="D2" s="41" t="n">
        <x:v>-999999</x:v>
      </x:c>
      <x:c r="E2" s="41" t="n">
        <x:v>-1440</x:v>
      </x:c>
      <x:c r="F2" s="41" t="str">
        <x:v>Ordinary world</x:v>
      </x:c>
      <x:c r="G2" s="41" t="str">
        <x:v>theme_normal</x:v>
      </x:c>
      <x:c r="H2" s="41" t="str">
        <x:v>music_normal</x:v>
      </x:c>
      <x:c r="I2" s="41" t="str"/>
      <x:c r="J2" s="42" t="b">
        <x:v>1</x:v>
      </x:c>
      <x:c r="K2" s="104" t="str">
        <x:v>Before final day</x:v>
      </x:c>
    </x:row>
    <x:row r="3">
      <x:c r="A3" s="44" t="str">
        <x:v>b1_final_day</x:v>
      </x:c>
      <x:c r="B3" s="45" t="str">
        <x:v>birthday_2026</x:v>
      </x:c>
      <x:c r="C3" s="45" t="n">
        <x:v>1</x:v>
      </x:c>
      <x:c r="D3" s="45" t="n">
        <x:v>-1440</x:v>
      </x:c>
      <x:c r="E3" s="45" t="n">
        <x:v>-360</x:v>
      </x:c>
      <x:c r="F3" s="45" t="str">
        <x:v>Final day</x:v>
      </x:c>
      <x:c r="G3" s="45" t="str">
        <x:v>theme_bday_subtle</x:v>
      </x:c>
      <x:c r="H3" s="45" t="str">
        <x:v>music_normal</x:v>
      </x:c>
      <x:c r="I3" s="45" t="str">
        <x:v>vo_bday_clue</x:v>
      </x:c>
      <x:c r="J3" s="46" t="b">
        <x:v>1</x:v>
      </x:c>
      <x:c r="K3" s="105" t="str">
        <x:v>Subtle ribbons, sunflowers, parcels</x:v>
      </x:c>
    </x:row>
    <x:row r="4">
      <x:c r="A4" s="44" t="str">
        <x:v>b2_preparations</x:v>
      </x:c>
      <x:c r="B4" s="45" t="str">
        <x:v>birthday_2026</x:v>
      </x:c>
      <x:c r="C4" s="45" t="n">
        <x:v>2</x:v>
      </x:c>
      <x:c r="D4" s="45" t="n">
        <x:v>-360</x:v>
      </x:c>
      <x:c r="E4" s="45" t="n">
        <x:v>-60</x:v>
      </x:c>
      <x:c r="F4" s="45" t="str">
        <x:v>Preparations</x:v>
      </x:c>
      <x:c r="G4" s="45" t="str">
        <x:v>theme_bday_prepare</x:v>
      </x:c>
      <x:c r="H4" s="45" t="str">
        <x:v>music_prepare</x:v>
      </x:c>
      <x:c r="I4" s="45" t="str">
        <x:v>vo_bday_prepare</x:v>
      </x:c>
      <x:c r="J4" s="46" t="b">
        <x:v>1</x:v>
      </x:c>
      <x:c r="K4" s="105" t="str">
        <x:v>Lanterns and prepared locations</x:v>
      </x:c>
    </x:row>
    <x:row r="5">
      <x:c r="A5" s="44" t="str">
        <x:v>b3_near</x:v>
      </x:c>
      <x:c r="B5" s="45" t="str">
        <x:v>birthday_2026</x:v>
      </x:c>
      <x:c r="C5" s="45" t="n">
        <x:v>3</x:v>
      </x:c>
      <x:c r="D5" s="45" t="n">
        <x:v>-60</x:v>
      </x:c>
      <x:c r="E5" s="45" t="n">
        <x:v>-10</x:v>
      </x:c>
      <x:c r="F5" s="45" t="str">
        <x:v>Near moment</x:v>
      </x:c>
      <x:c r="G5" s="45" t="str">
        <x:v>theme_bday_near</x:v>
      </x:c>
      <x:c r="H5" s="45" t="str">
        <x:v>music_near</x:v>
      </x:c>
      <x:c r="I5" s="45" t="str">
        <x:v>vo_bday_near</x:v>
      </x:c>
      <x:c r="J5" s="46" t="b">
        <x:v>1</x:v>
      </x:c>
      <x:c r="K5" s="105" t="str">
        <x:v>Violet/gold grading</x:v>
      </x:c>
    </x:row>
    <x:row r="6">
      <x:c r="A6" s="44" t="str">
        <x:v>b4_invitation</x:v>
      </x:c>
      <x:c r="B6" s="45" t="str">
        <x:v>birthday_2026</x:v>
      </x:c>
      <x:c r="C6" s="45" t="n">
        <x:v>4</x:v>
      </x:c>
      <x:c r="D6" s="45" t="n">
        <x:v>-10</x:v>
      </x:c>
      <x:c r="E6" s="45" t="n">
        <x:v>-1</x:v>
      </x:c>
      <x:c r="F6" s="45" t="str">
        <x:v>Invitation</x:v>
      </x:c>
      <x:c r="G6" s="45" t="str">
        <x:v>theme_bday_invite</x:v>
      </x:c>
      <x:c r="H6" s="45" t="str">
        <x:v>music_invite</x:v>
      </x:c>
      <x:c r="I6" s="45" t="str">
        <x:v>vo_bday_invite</x:v>
      </x:c>
      <x:c r="J6" s="46" t="b">
        <x:v>1</x:v>
      </x:c>
      <x:c r="K6" s="105" t="str">
        <x:v>Map and Cottage clock glow</x:v>
      </x:c>
    </x:row>
    <x:row r="7">
      <x:c r="A7" s="44" t="str">
        <x:v>b5_countdown</x:v>
      </x:c>
      <x:c r="B7" s="45" t="str">
        <x:v>birthday_2026</x:v>
      </x:c>
      <x:c r="C7" s="45" t="n">
        <x:v>5</x:v>
      </x:c>
      <x:c r="D7" s="45" t="n">
        <x:v>-1</x:v>
      </x:c>
      <x:c r="E7" s="45" t="n">
        <x:v>0</x:v>
      </x:c>
      <x:c r="F7" s="45" t="str">
        <x:v>Final countdown</x:v>
      </x:c>
      <x:c r="G7" s="45" t="str">
        <x:v>theme_bday_countdown</x:v>
      </x:c>
      <x:c r="H7" s="45" t="str">
        <x:v>music_countdown</x:v>
      </x:c>
      <x:c r="I7" s="45" t="str">
        <x:v>vo_bday_countdown</x:v>
      </x:c>
      <x:c r="J7" s="46" t="b">
        <x:v>1</x:v>
      </x:c>
      <x:c r="K7" s="105" t="str">
        <x:v>Last 60 seconds</x:v>
      </x:c>
    </x:row>
    <x:row r="8">
      <x:c r="A8" s="44" t="str">
        <x:v>b6_reveal</x:v>
      </x:c>
      <x:c r="B8" s="45" t="str">
        <x:v>birthday_2026</x:v>
      </x:c>
      <x:c r="C8" s="45" t="n">
        <x:v>6</x:v>
      </x:c>
      <x:c r="D8" s="45" t="n">
        <x:v>0</x:v>
      </x:c>
      <x:c r="E8" s="45" t="n">
        <x:v>60</x:v>
      </x:c>
      <x:c r="F8" s="45" t="str">
        <x:v>Birthday reveal</x:v>
      </x:c>
      <x:c r="G8" s="45" t="str">
        <x:v>theme_bday_reveal</x:v>
      </x:c>
      <x:c r="H8" s="45" t="str">
        <x:v>music_bday_reveal</x:v>
      </x:c>
      <x:c r="I8" s="45" t="str">
        <x:v>vo_bday_reveal</x:v>
      </x:c>
      <x:c r="J8" s="46" t="b">
        <x:v>1</x:v>
      </x:c>
      <x:c r="K8" s="105" t="str">
        <x:v>Greeting + Ahmed message</x:v>
      </x:c>
    </x:row>
    <x:row r="9">
      <x:c r="A9" s="44" t="str">
        <x:v>b7_celebration</x:v>
      </x:c>
      <x:c r="B9" s="45" t="str">
        <x:v>birthday_2026</x:v>
      </x:c>
      <x:c r="C9" s="45" t="n">
        <x:v>7</x:v>
      </x:c>
      <x:c r="D9" s="45" t="n">
        <x:v>60</x:v>
      </x:c>
      <x:c r="E9" s="45" t="n">
        <x:v>360</x:v>
      </x:c>
      <x:c r="F9" s="45" t="str">
        <x:v>Main celebration</x:v>
      </x:c>
      <x:c r="G9" s="45" t="str">
        <x:v>theme_bday_day</x:v>
      </x:c>
      <x:c r="H9" s="45" t="str">
        <x:v>music_bday_day</x:v>
      </x:c>
      <x:c r="I9" s="45" t="str">
        <x:v>vo_bday_day</x:v>
      </x:c>
      <x:c r="J9" s="46" t="b">
        <x:v>1</x:v>
      </x:c>
      <x:c r="K9" s="105" t="str">
        <x:v>All location moments available</x:v>
      </x:c>
    </x:row>
    <x:row r="10">
      <x:c r="A10" s="44" t="str">
        <x:v>b8_evening</x:v>
      </x:c>
      <x:c r="B10" s="45" t="str">
        <x:v>birthday_2026</x:v>
      </x:c>
      <x:c r="C10" s="45" t="n">
        <x:v>8</x:v>
      </x:c>
      <x:c r="D10" s="45" t="n">
        <x:v>360</x:v>
      </x:c>
      <x:c r="E10" s="45" t="n">
        <x:v>1440</x:v>
      </x:c>
      <x:c r="F10" s="45" t="str">
        <x:v>Birthday evening</x:v>
      </x:c>
      <x:c r="G10" s="45" t="str">
        <x:v>theme_bday_evening</x:v>
      </x:c>
      <x:c r="H10" s="45" t="str">
        <x:v>music_bday_evening</x:v>
      </x:c>
      <x:c r="I10" s="45" t="str">
        <x:v>vo_bday_evening</x:v>
      </x:c>
      <x:c r="J10" s="46" t="b">
        <x:v>1</x:v>
      </x:c>
      <x:c r="K10" s="105" t="str">
        <x:v>Calm celebration state</x:v>
      </x:c>
    </x:row>
    <x:row r="11">
      <x:c r="A11" s="44" t="str">
        <x:v>b9_afterglow</x:v>
      </x:c>
      <x:c r="B11" s="45" t="str">
        <x:v>birthday_2026</x:v>
      </x:c>
      <x:c r="C11" s="45" t="n">
        <x:v>9</x:v>
      </x:c>
      <x:c r="D11" s="45" t="n">
        <x:v>1440</x:v>
      </x:c>
      <x:c r="E11" s="45" t="n">
        <x:v>4320</x:v>
      </x:c>
      <x:c r="F11" s="45" t="str">
        <x:v>Afterglow</x:v>
      </x:c>
      <x:c r="G11" s="45" t="str">
        <x:v>theme_bday_afterglow</x:v>
      </x:c>
      <x:c r="H11" s="45" t="str">
        <x:v>music_normal</x:v>
      </x:c>
      <x:c r="I11" s="45" t="str"/>
      <x:c r="J11" s="46" t="b">
        <x:v>1</x:v>
      </x:c>
      <x:c r="K11" s="105" t="str">
        <x:v>Decor gradually reduces</x:v>
      </x:c>
    </x:row>
    <x:row r="12">
      <x:c r="A12" s="48" t="str">
        <x:v>b10_memory</x:v>
      </x:c>
      <x:c r="B12" s="49" t="str">
        <x:v>birthday_2026</x:v>
      </x:c>
      <x:c r="C12" s="49" t="n">
        <x:v>10</x:v>
      </x:c>
      <x:c r="D12" s="49" t="n">
        <x:v>4320</x:v>
      </x:c>
      <x:c r="E12" s="49" t="n">
        <x:v>999999</x:v>
      </x:c>
      <x:c r="F12" s="49" t="str">
        <x:v>Permanent memory</x:v>
      </x:c>
      <x:c r="G12" s="49" t="str">
        <x:v>theme_normal</x:v>
      </x:c>
      <x:c r="H12" s="49" t="str">
        <x:v>music_normal</x:v>
      </x:c>
      <x:c r="I12" s="49" t="str"/>
      <x:c r="J12" s="50" t="b">
        <x:v>1</x:v>
      </x:c>
      <x:c r="K12" s="106" t="str">
        <x:v>Everkeep + Cottage memory persists</x:v>
      </x:c>
    </x:row>
  </x:sheetData>
  <x:conditionalFormatting sqref="J2:J5000">
    <x:cfRule type="cellIs" dxfId="28" priority="1" operator="equal">
      <x:formula>FALSE</x:formula>
    </x:cfRule>
    <x:cfRule type="cellIs" dxfId="29" priority="2" operator="equal">
      <x:formula>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7df2e1726744d60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3" hidden="0" customWidth="1"/>
    <x:col min="6" max="6" width="16" hidden="0" customWidth="1"/>
    <x:col min="7" max="7" width="16" hidden="0" customWidth="1"/>
    <x:col min="8" max="8" width="16" hidden="0" customWidth="1"/>
    <x:col min="9" max="9" width="38" hidden="0" customWidth="1"/>
    <x:col min="10" max="10" width="16" hidden="0" customWidth="1"/>
    <x:col min="11" max="11" width="32" hidden="0" customWidth="1"/>
    <x:col min="12" max="12" width="24" hidden="0" customWidth="1"/>
    <x:col min="13" max="13" width="32" hidden="0" customWidth="1"/>
    <x:col min="14" max="14" width="24" hidden="0" customWidth="1"/>
    <x:col min="15" max="15" width="16" hidden="0" customWidth="1"/>
    <x:col min="16" max="16" width="16" hidden="0" customWidth="1"/>
    <x:col min="17" max="17" width="34" hidden="0" customWidth="1"/>
  </x:cols>
  <x:sheetData>
    <x:row r="1" ht="34" customHeight="1">
      <x:c r="A1" s="11" t="str">
        <x:v>message_row_id</x:v>
      </x:c>
      <x:c r="B1" s="12" t="str">
        <x:v>message_id</x:v>
      </x:c>
      <x:c r="C1" s="12" t="str">
        <x:v>sender_id</x:v>
      </x:c>
      <x:c r="D1" s="12" t="str">
        <x:v>recipient_user_id</x:v>
      </x:c>
      <x:c r="E1" s="12" t="str">
        <x:v>delivery_at</x:v>
      </x:c>
      <x:c r="F1" s="12" t="str">
        <x:v>priority</x:v>
      </x:c>
      <x:c r="G1" s="12" t="str">
        <x:v>message_type</x:v>
      </x:c>
      <x:c r="H1" s="12" t="str">
        <x:v>locale</x:v>
      </x:c>
      <x:c r="I1" s="12" t="str">
        <x:v>text</x:v>
      </x:c>
      <x:c r="J1" s="12" t="str">
        <x:v>direction</x:v>
      </x:c>
      <x:c r="K1" s="12" t="str">
        <x:v>image_asset_ids</x:v>
      </x:c>
      <x:c r="L1" s="12" t="str">
        <x:v>voiceover_id</x:v>
      </x:c>
      <x:c r="M1" s="12" t="str">
        <x:v>gift_ids</x:v>
      </x:c>
      <x:c r="N1" s="12" t="str">
        <x:v>translation_group_id</x:v>
      </x:c>
      <x:c r="O1" s="12" t="str">
        <x:v>archive_after_open</x:v>
      </x:c>
      <x:c r="P1" s="12" t="str">
        <x:v>enabled</x:v>
      </x:c>
      <x:c r="Q1" s="13" t="str">
        <x:v>notes</x:v>
      </x:c>
    </x:row>
    <x:row r="2">
      <x:c r="A2" s="40" t="str">
        <x:v>msg_welcome_en</x:v>
      </x:c>
      <x:c r="B2" s="41" t="str">
        <x:v>msg_welcome_ahmed</x:v>
      </x:c>
      <x:c r="C2" s="41" t="str">
        <x:v>admin_ahmed</x:v>
      </x:c>
      <x:c r="D2" s="41" t="str">
        <x:v>veoulla</x:v>
      </x:c>
      <x:c r="E2" s="41" t="str">
        <x:v>&lt;FIRST_VISIT&gt;</x:v>
      </x:c>
      <x:c r="F2" s="41" t="n">
        <x:v>1</x:v>
      </x:c>
      <x:c r="G2" s="41" t="str">
        <x:v>letter</x:v>
      </x:c>
      <x:c r="H2" s="41" t="str">
        <x:v>en</x:v>
      </x:c>
      <x:c r="I2" s="41" t="str">
        <x:v>&lt;WRITE AHMED'S FIRST MESSAGE&gt;</x:v>
      </x:c>
      <x:c r="J2" s="41" t="str">
        <x:v>ltr</x:v>
      </x:c>
      <x:c r="K2" s="41" t="str"/>
      <x:c r="L2" s="41" t="str">
        <x:v>vo_first_message_en</x:v>
      </x:c>
      <x:c r="M2" s="41" t="str"/>
      <x:c r="N2" s="41" t="str">
        <x:v>tg_msg_welcome</x:v>
      </x:c>
      <x:c r="O2" s="42" t="b">
        <x:v>1</x:v>
      </x:c>
      <x:c r="P2" s="42" t="b">
        <x:v>1</x:v>
      </x:c>
      <x:c r="Q2" s="104" t="str">
        <x:v>Delivered by Marcelino</x:v>
      </x:c>
    </x:row>
    <x:row r="3">
      <x:c r="A3" s="44" t="str">
        <x:v>msg_welcome_ar</x:v>
      </x:c>
      <x:c r="B3" s="45" t="str">
        <x:v>msg_welcome_ahmed</x:v>
      </x:c>
      <x:c r="C3" s="45" t="str">
        <x:v>admin_ahmed</x:v>
      </x:c>
      <x:c r="D3" s="45" t="str">
        <x:v>veoulla</x:v>
      </x:c>
      <x:c r="E3" s="45" t="str">
        <x:v>&lt;FIRST_VISIT&gt;</x:v>
      </x:c>
      <x:c r="F3" s="45" t="n">
        <x:v>1</x:v>
      </x:c>
      <x:c r="G3" s="45" t="str">
        <x:v>letter</x:v>
      </x:c>
      <x:c r="H3" s="45" t="str">
        <x:v>ar-EG</x:v>
      </x:c>
      <x:c r="I3" s="45" t="str">
        <x:v>&lt;اكتب رسالة أحمد الأولى&gt;</x:v>
      </x:c>
      <x:c r="J3" s="45" t="str">
        <x:v>rtl</x:v>
      </x:c>
      <x:c r="K3" s="45" t="str"/>
      <x:c r="L3" s="45" t="str">
        <x:v>vo_first_message_ar</x:v>
      </x:c>
      <x:c r="M3" s="45" t="str"/>
      <x:c r="N3" s="45" t="str">
        <x:v>tg_msg_welcome</x:v>
      </x:c>
      <x:c r="O3" s="46" t="b">
        <x:v>1</x:v>
      </x:c>
      <x:c r="P3" s="46" t="b">
        <x:v>1</x:v>
      </x:c>
      <x:c r="Q3" s="105" t="str"/>
    </x:row>
    <x:row r="4">
      <x:c r="A4" s="44" t="str">
        <x:v>msg_welcome_it</x:v>
      </x:c>
      <x:c r="B4" s="45" t="str">
        <x:v>msg_welcome_ahmed</x:v>
      </x:c>
      <x:c r="C4" s="45" t="str">
        <x:v>admin_ahmed</x:v>
      </x:c>
      <x:c r="D4" s="45" t="str">
        <x:v>veoulla</x:v>
      </x:c>
      <x:c r="E4" s="45" t="str">
        <x:v>&lt;FIRST_VISIT&gt;</x:v>
      </x:c>
      <x:c r="F4" s="45" t="n">
        <x:v>1</x:v>
      </x:c>
      <x:c r="G4" s="45" t="str">
        <x:v>letter</x:v>
      </x:c>
      <x:c r="H4" s="45" t="str">
        <x:v>it</x:v>
      </x:c>
      <x:c r="I4" s="45" t="str">
        <x:v>&lt;SCRIVI IL PRIMO MESSAGGIO DI AHMED&gt;</x:v>
      </x:c>
      <x:c r="J4" s="45" t="str">
        <x:v>ltr</x:v>
      </x:c>
      <x:c r="K4" s="45" t="str"/>
      <x:c r="L4" s="45" t="str">
        <x:v>vo_first_message_it</x:v>
      </x:c>
      <x:c r="M4" s="45" t="str"/>
      <x:c r="N4" s="45" t="str">
        <x:v>tg_msg_welcome</x:v>
      </x:c>
      <x:c r="O4" s="46" t="b">
        <x:v>1</x:v>
      </x:c>
      <x:c r="P4" s="46" t="b">
        <x:v>1</x:v>
      </x:c>
      <x:c r="Q4" s="105" t="str"/>
    </x:row>
    <x:row r="5">
      <x:c r="A5" s="44" t="str">
        <x:v>msg_welcome_el</x:v>
      </x:c>
      <x:c r="B5" s="45" t="str">
        <x:v>msg_welcome_ahmed</x:v>
      </x:c>
      <x:c r="C5" s="45" t="str">
        <x:v>admin_ahmed</x:v>
      </x:c>
      <x:c r="D5" s="45" t="str">
        <x:v>veoulla</x:v>
      </x:c>
      <x:c r="E5" s="45" t="str">
        <x:v>&lt;FIRST_VISIT&gt;</x:v>
      </x:c>
      <x:c r="F5" s="45" t="n">
        <x:v>1</x:v>
      </x:c>
      <x:c r="G5" s="45" t="str">
        <x:v>letter</x:v>
      </x:c>
      <x:c r="H5" s="45" t="str">
        <x:v>el</x:v>
      </x:c>
      <x:c r="I5" s="45" t="str">
        <x:v>&lt;ΓΡΑΨΕ ΤΟ ΠΡΩΤΟ ΜΗΝΥΜΑ ΤΟΥ AHMED&gt;</x:v>
      </x:c>
      <x:c r="J5" s="45" t="str">
        <x:v>ltr</x:v>
      </x:c>
      <x:c r="K5" s="45" t="str"/>
      <x:c r="L5" s="45" t="str">
        <x:v>vo_first_message_el</x:v>
      </x:c>
      <x:c r="M5" s="45" t="str"/>
      <x:c r="N5" s="45" t="str">
        <x:v>tg_msg_welcome</x:v>
      </x:c>
      <x:c r="O5" s="46" t="b">
        <x:v>1</x:v>
      </x:c>
      <x:c r="P5" s="46" t="b">
        <x:v>1</x:v>
      </x:c>
      <x:c r="Q5" s="105" t="str"/>
    </x:row>
    <x:row r="6">
      <x:c r="A6" s="44" t="str">
        <x:v>msg_welcome_fr</x:v>
      </x:c>
      <x:c r="B6" s="45" t="str">
        <x:v>msg_welcome_ahmed</x:v>
      </x:c>
      <x:c r="C6" s="45" t="str">
        <x:v>admin_ahmed</x:v>
      </x:c>
      <x:c r="D6" s="45" t="str">
        <x:v>veoulla</x:v>
      </x:c>
      <x:c r="E6" s="45" t="str">
        <x:v>&lt;FIRST_VISIT&gt;</x:v>
      </x:c>
      <x:c r="F6" s="45" t="n">
        <x:v>1</x:v>
      </x:c>
      <x:c r="G6" s="45" t="str">
        <x:v>letter</x:v>
      </x:c>
      <x:c r="H6" s="45" t="str">
        <x:v>fr</x:v>
      </x:c>
      <x:c r="I6" s="45" t="str">
        <x:v>&lt;ÉCRIRE LE PREMIER MESSAGE D'AHMED&gt;</x:v>
      </x:c>
      <x:c r="J6" s="45" t="str">
        <x:v>ltr</x:v>
      </x:c>
      <x:c r="K6" s="45" t="str"/>
      <x:c r="L6" s="45" t="str">
        <x:v>vo_first_message_fr</x:v>
      </x:c>
      <x:c r="M6" s="45" t="str"/>
      <x:c r="N6" s="45" t="str">
        <x:v>tg_msg_welcome</x:v>
      </x:c>
      <x:c r="O6" s="46" t="b">
        <x:v>1</x:v>
      </x:c>
      <x:c r="P6" s="46" t="b">
        <x:v>1</x:v>
      </x:c>
      <x:c r="Q6" s="105" t="str"/>
    </x:row>
    <x:row r="7">
      <x:c r="A7" s="48" t="str">
        <x:v>msg_bday_en</x:v>
      </x:c>
      <x:c r="B7" s="49" t="str">
        <x:v>msg_bday_ahmed</x:v>
      </x:c>
      <x:c r="C7" s="49" t="str">
        <x:v>admin_ahmed</x:v>
      </x:c>
      <x:c r="D7" s="49" t="str">
        <x:v>veoulla</x:v>
      </x:c>
      <x:c r="E7" s="49" t="n">
        <x:v>46291</x:v>
      </x:c>
      <x:c r="F7" s="49" t="n">
        <x:v>1</x:v>
      </x:c>
      <x:c r="G7" s="49" t="str">
        <x:v>birthday_letter</x:v>
      </x:c>
      <x:c r="H7" s="49" t="str">
        <x:v>en</x:v>
      </x:c>
      <x:c r="I7" s="49" t="str">
        <x:v>&lt;WRITE AHMED'S BIRTHDAY MESSAGE&gt;</x:v>
      </x:c>
      <x:c r="J7" s="49" t="str">
        <x:v>ltr</x:v>
      </x:c>
      <x:c r="K7" s="49" t="str">
        <x:v>&lt;IMAGE_IDS&gt;</x:v>
      </x:c>
      <x:c r="L7" s="49" t="str">
        <x:v>vo_bday_message_en</x:v>
      </x:c>
      <x:c r="M7" s="49" t="str">
        <x:v>&lt;GIFT_IDS&gt;</x:v>
      </x:c>
      <x:c r="N7" s="49" t="str">
        <x:v>tg_msg_bday</x:v>
      </x:c>
      <x:c r="O7" s="50" t="b">
        <x:v>1</x:v>
      </x:c>
      <x:c r="P7" s="50" t="b">
        <x:v>1</x:v>
      </x:c>
      <x:c r="Q7" s="106" t="str">
        <x:v>Primary birthday message</x:v>
      </x:c>
    </x:row>
  </x:sheetData>
  <x:conditionalFormatting sqref="P2:P5000">
    <x:cfRule type="cellIs" dxfId="30" priority="1" operator="equal">
      <x:formula>FALSE</x:formula>
    </x:cfRule>
    <x:cfRule type="cellIs" dxfId="31" priority="2" operator="equal">
      <x:formula>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f23da0e4953453b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6" hidden="0" customWidth="1"/>
    <x:col min="4" max="4" width="23" hidden="0" customWidth="1"/>
    <x:col min="5" max="5" width="24" hidden="0" customWidth="1"/>
    <x:col min="6" max="6" width="32" hidden="0" customWidth="1"/>
    <x:col min="7" max="7" width="24" hidden="0" customWidth="1"/>
    <x:col min="8" max="8" width="38" hidden="0" customWidth="1"/>
    <x:col min="9" max="9" width="16" hidden="0" customWidth="1"/>
    <x:col min="10" max="10" width="16" hidden="0" customWidth="1"/>
    <x:col min="11" max="11" width="34" hidden="0" customWidth="1"/>
  </x:cols>
  <x:sheetData>
    <x:row r="1" ht="34" customHeight="1">
      <x:c r="A1" s="11" t="str">
        <x:v>song_id</x:v>
      </x:c>
      <x:c r="B1" s="12" t="str">
        <x:v>title</x:v>
      </x:c>
      <x:c r="C1" s="12" t="str">
        <x:v>artist</x:v>
      </x:c>
      <x:c r="D1" s="12" t="str">
        <x:v>release_at</x:v>
      </x:c>
      <x:c r="E1" s="12" t="str">
        <x:v>location_id</x:v>
      </x:c>
      <x:c r="F1" s="12" t="str">
        <x:v>audio_asset_id</x:v>
      </x:c>
      <x:c r="G1" s="12" t="str">
        <x:v>cover_asset_id</x:v>
      </x:c>
      <x:c r="H1" s="12" t="str">
        <x:v>explanation_text_id</x:v>
      </x:c>
      <x:c r="I1" s="12" t="str">
        <x:v>available_in_walkman</x:v>
      </x:c>
      <x:c r="J1" s="12" t="str">
        <x:v>enabled</x:v>
      </x:c>
      <x:c r="K1" s="13" t="str">
        <x:v>notes</x:v>
      </x:c>
    </x:row>
    <x:row r="2">
      <x:c r="A2" s="40" t="str">
        <x:v>song_welcome_001</x:v>
      </x:c>
      <x:c r="B2" s="41" t="str">
        <x:v>&lt;WELCOME SONG&gt;</x:v>
      </x:c>
      <x:c r="C2" s="41" t="str">
        <x:v>&lt;ARTIST&gt;</x:v>
      </x:c>
      <x:c r="D2" s="41" t="str">
        <x:v>&lt;FIRST_VISIT&gt;</x:v>
      </x:c>
      <x:c r="E2" s="41" t="str">
        <x:v>cafe</x:v>
      </x:c>
      <x:c r="F2" s="41" t="str">
        <x:v>asset_audio_song_welcome_001</x:v>
      </x:c>
      <x:c r="G2" s="41" t="str">
        <x:v>&lt;COVER_ASSET&gt;</x:v>
      </x:c>
      <x:c r="H2" s="41" t="str">
        <x:v>song_welcome_explanation</x:v>
      </x:c>
      <x:c r="I2" s="42" t="b">
        <x:v>1</x:v>
      </x:c>
      <x:c r="J2" s="42" t="b">
        <x:v>1</x:v>
      </x:c>
      <x:c r="K2" s="104" t="str">
        <x:v>No autoplay on Café entry</x:v>
      </x:c>
    </x:row>
    <x:row r="3">
      <x:c r="A3" s="44" t="str">
        <x:v>song_bday_001</x:v>
      </x:c>
      <x:c r="B3" s="45" t="str">
        <x:v>&lt;BIRTHDAY SONG 1&gt;</x:v>
      </x:c>
      <x:c r="C3" s="45" t="str">
        <x:v>&lt;ARTIST&gt;</x:v>
      </x:c>
      <x:c r="D3" s="45" t="n">
        <x:v>46291</x:v>
      </x:c>
      <x:c r="E3" s="45" t="str">
        <x:v>cafe</x:v>
      </x:c>
      <x:c r="F3" s="45" t="str">
        <x:v>asset_audio_song_bday_001</x:v>
      </x:c>
      <x:c r="G3" s="45" t="str">
        <x:v>&lt;COVER_ASSET&gt;</x:v>
      </x:c>
      <x:c r="H3" s="45" t="str">
        <x:v>song_bday_explanation_1</x:v>
      </x:c>
      <x:c r="I3" s="46" t="b">
        <x:v>1</x:v>
      </x:c>
      <x:c r="J3" s="46" t="b">
        <x:v>1</x:v>
      </x:c>
      <x:c r="K3" s="105" t="str">
        <x:v>Multiple songs may share date</x:v>
      </x:c>
    </x:row>
    <x:row r="4">
      <x:c r="A4" s="48" t="str">
        <x:v>song_bday_002</x:v>
      </x:c>
      <x:c r="B4" s="49" t="str">
        <x:v>&lt;BIRTHDAY SONG 2&gt;</x:v>
      </x:c>
      <x:c r="C4" s="49" t="str">
        <x:v>&lt;ARTIST&gt;</x:v>
      </x:c>
      <x:c r="D4" s="49" t="n">
        <x:v>46291</x:v>
      </x:c>
      <x:c r="E4" s="49" t="str">
        <x:v>cafe</x:v>
      </x:c>
      <x:c r="F4" s="49" t="str">
        <x:v>asset_audio_song_bday_002</x:v>
      </x:c>
      <x:c r="G4" s="49" t="str">
        <x:v>&lt;COVER_ASSET&gt;</x:v>
      </x:c>
      <x:c r="H4" s="49" t="str">
        <x:v>song_bday_explanation_2</x:v>
      </x:c>
      <x:c r="I4" s="50" t="b">
        <x:v>1</x:v>
      </x:c>
      <x:c r="J4" s="50" t="b">
        <x:v>1</x:v>
      </x:c>
      <x:c r="K4" s="106" t="str"/>
    </x:row>
  </x:sheetData>
  <x:conditionalFormatting sqref="J2:J5000">
    <x:cfRule type="cellIs" dxfId="32" priority="1" operator="equal">
      <x:formula>FALSE</x:formula>
    </x:cfRule>
    <x:cfRule type="cellIs" dxfId="33" priority="2" operator="equal">
      <x:formula>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7fc57f873264386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16" hidden="0" customWidth="1"/>
    <x:col min="5" max="5" width="2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 ht="34" customHeight="1">
      <x:c r="A1" s="11" t="str">
        <x:v>key_type_id</x:v>
      </x:c>
      <x:c r="B1" s="12" t="str">
        <x:v>location_id</x:v>
      </x:c>
      <x:c r="C1" s="12" t="str">
        <x:v>display_name_text_id</x:v>
      </x:c>
      <x:c r="D1" s="12" t="str">
        <x:v>shape</x:v>
      </x:c>
      <x:c r="E1" s="12" t="str">
        <x:v>icon_id</x:v>
      </x:c>
      <x:c r="F1" s="12" t="str">
        <x:v>max_per_day</x:v>
      </x:c>
      <x:c r="G1" s="12" t="str">
        <x:v>rarity</x:v>
      </x:c>
      <x:c r="H1" s="12" t="str">
        <x:v>inventory_cap</x:v>
      </x:c>
      <x:c r="I1" s="12" t="str">
        <x:v>enabled</x:v>
      </x:c>
      <x:c r="J1" s="13" t="str">
        <x:v>notes</x:v>
      </x:c>
    </x:row>
    <x:row r="2">
      <x:c r="A2" s="40" t="str">
        <x:v>key_shell</x:v>
      </x:c>
      <x:c r="B2" s="41" t="str">
        <x:v>beach</x:v>
      </x:c>
      <x:c r="C2" s="41" t="str">
        <x:v>key_shell_name</x:v>
      </x:c>
      <x:c r="D2" s="41" t="str">
        <x:v>shell</x:v>
      </x:c>
      <x:c r="E2" s="41" t="str">
        <x:v>key_shell_icon</x:v>
      </x:c>
      <x:c r="F2" s="41" t="n">
        <x:v>1</x:v>
      </x:c>
      <x:c r="G2" s="41" t="str">
        <x:v>common</x:v>
      </x:c>
      <x:c r="H2" s="41" t="n">
        <x:v>999</x:v>
      </x:c>
      <x:c r="I2" s="42" t="b">
        <x:v>1</x:v>
      </x:c>
      <x:c r="J2" s="104" t="str">
        <x:v>May not appear every day</x:v>
      </x:c>
    </x:row>
    <x:row r="3">
      <x:c r="A3" s="44" t="str">
        <x:v>key_candle</x:v>
      </x:c>
      <x:c r="B3" s="45" t="str">
        <x:v>church</x:v>
      </x:c>
      <x:c r="C3" s="45" t="str">
        <x:v>key_candle_name</x:v>
      </x:c>
      <x:c r="D3" s="45" t="str">
        <x:v>candle</x:v>
      </x:c>
      <x:c r="E3" s="45" t="str">
        <x:v>key_candle_icon</x:v>
      </x:c>
      <x:c r="F3" s="45" t="n">
        <x:v>1</x:v>
      </x:c>
      <x:c r="G3" s="45" t="str">
        <x:v>common</x:v>
      </x:c>
      <x:c r="H3" s="45" t="n">
        <x:v>999</x:v>
      </x:c>
      <x:c r="I3" s="46" t="b">
        <x:v>1</x:v>
      </x:c>
      <x:c r="J3" s="105" t="str">
        <x:v>Quiz or respectful exterior source</x:v>
      </x:c>
    </x:row>
    <x:row r="4">
      <x:c r="A4" s="44" t="str">
        <x:v>key_music</x:v>
      </x:c>
      <x:c r="B4" s="45" t="str">
        <x:v>cafe</x:v>
      </x:c>
      <x:c r="C4" s="45" t="str">
        <x:v>key_music_name</x:v>
      </x:c>
      <x:c r="D4" s="45" t="str">
        <x:v>music_note</x:v>
      </x:c>
      <x:c r="E4" s="45" t="str">
        <x:v>key_music_icon</x:v>
      </x:c>
      <x:c r="F4" s="45" t="n">
        <x:v>1</x:v>
      </x:c>
      <x:c r="G4" s="45" t="str">
        <x:v>common</x:v>
      </x:c>
      <x:c r="H4" s="45" t="n">
        <x:v>999</x:v>
      </x:c>
      <x:c r="I4" s="46" t="b">
        <x:v>1</x:v>
      </x:c>
      <x:c r="J4" s="105" t="str">
        <x:v>Sheet-date controlled</x:v>
      </x:c>
    </x:row>
    <x:row r="5">
      <x:c r="A5" s="44" t="str">
        <x:v>key_token</x:v>
      </x:c>
      <x:c r="B5" s="45" t="str">
        <x:v>arcade</x:v>
      </x:c>
      <x:c r="C5" s="45" t="str">
        <x:v>key_token_name</x:v>
      </x:c>
      <x:c r="D5" s="45" t="str">
        <x:v>retro_token</x:v>
      </x:c>
      <x:c r="E5" s="45" t="str">
        <x:v>key_token_icon</x:v>
      </x:c>
      <x:c r="F5" s="45" t="n">
        <x:v>1</x:v>
      </x:c>
      <x:c r="G5" s="45" t="str">
        <x:v>common</x:v>
      </x:c>
      <x:c r="H5" s="45" t="n">
        <x:v>999</x:v>
      </x:c>
      <x:c r="I5" s="46" t="b">
        <x:v>1</x:v>
      </x:c>
      <x:c r="J5" s="105" t="str">
        <x:v>Game/challenge reward</x:v>
      </x:c>
    </x:row>
    <x:row r="6">
      <x:c r="A6" s="44" t="str">
        <x:v>key_letter</x:v>
      </x:c>
      <x:c r="B6" s="45" t="str">
        <x:v>cottage</x:v>
      </x:c>
      <x:c r="C6" s="45" t="str">
        <x:v>key_letter_name</x:v>
      </x:c>
      <x:c r="D6" s="45" t="str">
        <x:v>letter_envelope</x:v>
      </x:c>
      <x:c r="E6" s="45" t="str">
        <x:v>key_letter_icon</x:v>
      </x:c>
      <x:c r="F6" s="45" t="n">
        <x:v>1</x:v>
      </x:c>
      <x:c r="G6" s="45" t="str">
        <x:v>common</x:v>
      </x:c>
      <x:c r="H6" s="45" t="n">
        <x:v>999</x:v>
      </x:c>
      <x:c r="I6" s="46" t="b">
        <x:v>1</x:v>
      </x:c>
      <x:c r="J6" s="105" t="str">
        <x:v>Message-related</x:v>
      </x:c>
    </x:row>
    <x:row r="7">
      <x:c r="A7" s="44" t="str">
        <x:v>key_sunflower</x:v>
      </x:c>
      <x:c r="B7" s="45" t="str">
        <x:v>farm</x:v>
      </x:c>
      <x:c r="C7" s="45" t="str">
        <x:v>key_sunflower_name</x:v>
      </x:c>
      <x:c r="D7" s="45" t="str">
        <x:v>sunflower</x:v>
      </x:c>
      <x:c r="E7" s="45" t="str">
        <x:v>key_sunflower_icon</x:v>
      </x:c>
      <x:c r="F7" s="45" t="n">
        <x:v>1</x:v>
      </x:c>
      <x:c r="G7" s="45" t="str">
        <x:v>common</x:v>
      </x:c>
      <x:c r="H7" s="45" t="n">
        <x:v>999</x:v>
      </x:c>
      <x:c r="I7" s="46" t="b">
        <x:v>1</x:v>
      </x:c>
      <x:c r="J7" s="105" t="str">
        <x:v>Farm interaction reward</x:v>
      </x:c>
    </x:row>
    <x:row r="8">
      <x:c r="A8" s="48" t="str">
        <x:v>key_everkeep</x:v>
      </x:c>
      <x:c r="B8" s="49" t="str">
        <x:v>museum</x:v>
      </x:c>
      <x:c r="C8" s="49" t="str">
        <x:v>key_everkeep_name</x:v>
      </x:c>
      <x:c r="D8" s="49" t="str">
        <x:v>ancient_golden</x:v>
      </x:c>
      <x:c r="E8" s="49" t="str">
        <x:v>key_everkeep_icon</x:v>
      </x:c>
      <x:c r="F8" s="49" t="n">
        <x:v>1</x:v>
      </x:c>
      <x:c r="G8" s="49" t="str">
        <x:v>legendary</x:v>
      </x:c>
      <x:c r="H8" s="49" t="n">
        <x:v>1</x:v>
      </x:c>
      <x:c r="I8" s="50" t="b">
        <x:v>1</x:v>
      </x:c>
      <x:c r="J8" s="106" t="str">
        <x:v>Other-key set + final-road puzzle</x:v>
      </x:c>
    </x:row>
  </x:sheetData>
  <x:conditionalFormatting sqref="I2:I5000">
    <x:cfRule type="cellIs" dxfId="34" priority="1" operator="equal">
      <x:formula>FALSE</x:formula>
    </x:cfRule>
    <x:cfRule type="cellIs" dxfId="35" priority="2" operator="equal">
      <x:formula>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eb4eb88f2ef43b8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6" hidden="0" customWidth="1"/>
    <x:col min="4" max="4" width="2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34" hidden="0" customWidth="1"/>
    <x:col min="12" max="12" width="16" hidden="0" customWidth="1"/>
    <x:col min="13" max="13" width="34" hidden="0" customWidth="1"/>
  </x:cols>
  <x:sheetData>
    <x:row r="1" ht="34" customHeight="1">
      <x:c r="A1" s="11" t="str">
        <x:v>rule_id</x:v>
      </x:c>
      <x:c r="B1" s="12" t="str">
        <x:v>key_type_id</x:v>
      </x:c>
      <x:c r="C1" s="12" t="str">
        <x:v>source_type</x:v>
      </x:c>
      <x:c r="D1" s="12" t="str">
        <x:v>source_id</x:v>
      </x:c>
      <x:c r="E1" s="12" t="str">
        <x:v>available_from</x:v>
      </x:c>
      <x:c r="F1" s="12" t="str">
        <x:v>available_to</x:v>
      </x:c>
      <x:c r="G1" s="12" t="str">
        <x:v>required_story_beat</x:v>
      </x:c>
      <x:c r="H1" s="12" t="str">
        <x:v>max_awards_per_period</x:v>
      </x:c>
      <x:c r="I1" s="12" t="str">
        <x:v>period_type</x:v>
      </x:c>
      <x:c r="J1" s="12" t="str">
        <x:v>reward_quantity</x:v>
      </x:c>
      <x:c r="K1" s="12" t="str">
        <x:v>condition_json</x:v>
      </x:c>
      <x:c r="L1" s="12" t="str">
        <x:v>enabled</x:v>
      </x:c>
      <x:c r="M1" s="13" t="str">
        <x:v>notes</x:v>
      </x:c>
    </x:row>
    <x:row r="2">
      <x:c r="A2" s="40" t="str">
        <x:v>rule_first_shell</x:v>
      </x:c>
      <x:c r="B2" s="41" t="str">
        <x:v>key_shell</x:v>
      </x:c>
      <x:c r="C2" s="41" t="str">
        <x:v>story_interaction</x:v>
      </x:c>
      <x:c r="D2" s="41" t="str">
        <x:v>beach_signature</x:v>
      </x:c>
      <x:c r="E2" s="41" t="str">
        <x:v>&lt;FIRST_VISIT&gt;</x:v>
      </x:c>
      <x:c r="F2" s="41" t="str"/>
      <x:c r="G2" s="41" t="str">
        <x:v>beat_05_beach</x:v>
      </x:c>
      <x:c r="H2" s="41" t="n">
        <x:v>1</x:v>
      </x:c>
      <x:c r="I2" s="41" t="str">
        <x:v>once</x:v>
      </x:c>
      <x:c r="J2" s="41" t="n">
        <x:v>1</x:v>
      </x:c>
      <x:c r="K2" s="41" t="str">
        <x:v>{}</x:v>
      </x:c>
      <x:c r="L2" s="42" t="b">
        <x:v>1</x:v>
      </x:c>
      <x:c r="M2" s="104" t="str">
        <x:v>First journey reward</x:v>
      </x:c>
    </x:row>
    <x:row r="3">
      <x:c r="A3" s="44" t="str">
        <x:v>rule_first_candle</x:v>
      </x:c>
      <x:c r="B3" s="45" t="str">
        <x:v>key_candle</x:v>
      </x:c>
      <x:c r="C3" s="45" t="str">
        <x:v>quiz_or_exterior</x:v>
      </x:c>
      <x:c r="D3" s="45" t="str">
        <x:v>church_first_interaction</x:v>
      </x:c>
      <x:c r="E3" s="45" t="str">
        <x:v>&lt;FIRST_VISIT&gt;</x:v>
      </x:c>
      <x:c r="F3" s="45" t="str"/>
      <x:c r="G3" s="45" t="str">
        <x:v>beat_07_church</x:v>
      </x:c>
      <x:c r="H3" s="45" t="n">
        <x:v>1</x:v>
      </x:c>
      <x:c r="I3" s="45" t="str">
        <x:v>once</x:v>
      </x:c>
      <x:c r="J3" s="45" t="n">
        <x:v>1</x:v>
      </x:c>
      <x:c r="K3" s="45" t="str">
        <x:v>{}</x:v>
      </x:c>
      <x:c r="L3" s="46" t="b">
        <x:v>1</x:v>
      </x:c>
      <x:c r="M3" s="105" t="str"/>
    </x:row>
    <x:row r="4">
      <x:c r="A4" s="44" t="str">
        <x:v>rule_first_music</x:v>
      </x:c>
      <x:c r="B4" s="45" t="str">
        <x:v>key_music</x:v>
      </x:c>
      <x:c r="C4" s="45" t="str">
        <x:v>cafe_interaction</x:v>
      </x:c>
      <x:c r="D4" s="45" t="str">
        <x:v>cafe_first_interaction</x:v>
      </x:c>
      <x:c r="E4" s="45" t="str">
        <x:v>&lt;FIRST_VISIT&gt;</x:v>
      </x:c>
      <x:c r="F4" s="45" t="str"/>
      <x:c r="G4" s="45" t="str">
        <x:v>beat_08_cafe</x:v>
      </x:c>
      <x:c r="H4" s="45" t="n">
        <x:v>1</x:v>
      </x:c>
      <x:c r="I4" s="45" t="str">
        <x:v>once</x:v>
      </x:c>
      <x:c r="J4" s="45" t="n">
        <x:v>1</x:v>
      </x:c>
      <x:c r="K4" s="45" t="str">
        <x:v>{}</x:v>
      </x:c>
      <x:c r="L4" s="46" t="b">
        <x:v>1</x:v>
      </x:c>
      <x:c r="M4" s="105" t="str"/>
    </x:row>
    <x:row r="5">
      <x:c r="A5" s="44" t="str">
        <x:v>rule_first_token</x:v>
      </x:c>
      <x:c r="B5" s="45" t="str">
        <x:v>key_token</x:v>
      </x:c>
      <x:c r="C5" s="45" t="str">
        <x:v>arcade_score</x:v>
      </x:c>
      <x:c r="D5" s="45" t="str">
        <x:v>arcade_intro_game</x:v>
      </x:c>
      <x:c r="E5" s="45" t="str">
        <x:v>&lt;FIRST_VISIT&gt;</x:v>
      </x:c>
      <x:c r="F5" s="45" t="str"/>
      <x:c r="G5" s="45" t="str">
        <x:v>beat_10_arcade</x:v>
      </x:c>
      <x:c r="H5" s="45" t="n">
        <x:v>1</x:v>
      </x:c>
      <x:c r="I5" s="45" t="str">
        <x:v>once</x:v>
      </x:c>
      <x:c r="J5" s="45" t="n">
        <x:v>1</x:v>
      </x:c>
      <x:c r="K5" s="45" t="str">
        <x:v>{"min_score":1}</x:v>
      </x:c>
      <x:c r="L5" s="46" t="b">
        <x:v>1</x:v>
      </x:c>
      <x:c r="M5" s="105" t="str"/>
    </x:row>
    <x:row r="6">
      <x:c r="A6" s="44" t="str">
        <x:v>rule_first_letter</x:v>
      </x:c>
      <x:c r="B6" s="45" t="str">
        <x:v>key_letter</x:v>
      </x:c>
      <x:c r="C6" s="45" t="str">
        <x:v>message_open</x:v>
      </x:c>
      <x:c r="D6" s="45" t="str">
        <x:v>msg_welcome_ahmed</x:v>
      </x:c>
      <x:c r="E6" s="45" t="str">
        <x:v>&lt;FIRST_VISIT&gt;</x:v>
      </x:c>
      <x:c r="F6" s="45" t="str"/>
      <x:c r="G6" s="45" t="str">
        <x:v>beat_12_marcelino</x:v>
      </x:c>
      <x:c r="H6" s="45" t="n">
        <x:v>1</x:v>
      </x:c>
      <x:c r="I6" s="45" t="str">
        <x:v>once</x:v>
      </x:c>
      <x:c r="J6" s="45" t="n">
        <x:v>1</x:v>
      </x:c>
      <x:c r="K6" s="45" t="str">
        <x:v>{}</x:v>
      </x:c>
      <x:c r="L6" s="46" t="b">
        <x:v>1</x:v>
      </x:c>
      <x:c r="M6" s="105" t="str"/>
    </x:row>
    <x:row r="7">
      <x:c r="A7" s="44" t="str">
        <x:v>rule_first_sunflower</x:v>
      </x:c>
      <x:c r="B7" s="45" t="str">
        <x:v>key_sunflower</x:v>
      </x:c>
      <x:c r="C7" s="45" t="str">
        <x:v>farm_interaction</x:v>
      </x:c>
      <x:c r="D7" s="45" t="str">
        <x:v>farm_first_interaction</x:v>
      </x:c>
      <x:c r="E7" s="45" t="str">
        <x:v>&lt;FIRST_VISIT&gt;</x:v>
      </x:c>
      <x:c r="F7" s="45" t="str"/>
      <x:c r="G7" s="45" t="str">
        <x:v>beat_14_farm</x:v>
      </x:c>
      <x:c r="H7" s="45" t="n">
        <x:v>1</x:v>
      </x:c>
      <x:c r="I7" s="45" t="str">
        <x:v>once</x:v>
      </x:c>
      <x:c r="J7" s="45" t="n">
        <x:v>1</x:v>
      </x:c>
      <x:c r="K7" s="45" t="str">
        <x:v>{}</x:v>
      </x:c>
      <x:c r="L7" s="46" t="b">
        <x:v>1</x:v>
      </x:c>
      <x:c r="M7" s="105" t="str"/>
    </x:row>
    <x:row r="8">
      <x:c r="A8" s="48" t="str">
        <x:v>rule_museum_unlock</x:v>
      </x:c>
      <x:c r="B8" s="49" t="str">
        <x:v>key_everkeep</x:v>
      </x:c>
      <x:c r="C8" s="49" t="str">
        <x:v>composite</x:v>
      </x:c>
      <x:c r="D8" s="49" t="str">
        <x:v>museum_key_check</x:v>
      </x:c>
      <x:c r="E8" s="49" t="str">
        <x:v>&lt;FIRST_VISIT&gt;</x:v>
      </x:c>
      <x:c r="F8" s="49" t="str"/>
      <x:c r="G8" s="49" t="str">
        <x:v>beat_15_museum_approach</x:v>
      </x:c>
      <x:c r="H8" s="49" t="n">
        <x:v>1</x:v>
      </x:c>
      <x:c r="I8" s="49" t="str">
        <x:v>once</x:v>
      </x:c>
      <x:c r="J8" s="49" t="n">
        <x:v>1</x:v>
      </x:c>
      <x:c r="K8" s="49" t="str">
        <x:v>{"required_key_rule_set":"first_museum_set","final_road_puzzle":true}</x:v>
      </x:c>
      <x:c r="L8" s="50" t="b">
        <x:v>1</x:v>
      </x:c>
      <x:c r="M8" s="106" t="str">
        <x:v>Exact quantities editable later</x:v>
      </x:c>
    </x:row>
  </x:sheetData>
  <x:conditionalFormatting sqref="L2:L5000">
    <x:cfRule type="cellIs" dxfId="36" priority="1" operator="equal">
      <x:formula>FALSE</x:formula>
    </x:cfRule>
    <x:cfRule type="cellIs" dxfId="37" priority="2" operator="equal">
      <x:formula>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a2ad2f96124443e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24" hidden="0" customWidth="1"/>
    <x:col min="4" max="4" width="34" hidden="0" customWidth="1"/>
    <x:col min="5" max="5" width="24" hidden="0" customWidth="1"/>
    <x:col min="6" max="6" width="16" hidden="0" customWidth="1"/>
    <x:col min="7" max="7" width="16" hidden="0" customWidth="1"/>
    <x:col min="8" max="8" width="16" hidden="0" customWidth="1"/>
    <x:col min="9" max="9" width="34" hidden="0" customWidth="1"/>
    <x:col min="10" max="10" width="24" hidden="0" customWidth="1"/>
    <x:col min="11" max="11" width="16" hidden="0" customWidth="1"/>
    <x:col min="12" max="12" width="16" hidden="0" customWidth="1"/>
  </x:cols>
  <x:sheetData>
    <x:row r="1" ht="34" customHeight="1">
      <x:c r="A1" s="11" t="str">
        <x:v>achievement_id</x:v>
      </x:c>
      <x:c r="B1" s="12" t="str">
        <x:v>category</x:v>
      </x:c>
      <x:c r="C1" s="12" t="str">
        <x:v>title_text_id</x:v>
      </x:c>
      <x:c r="D1" s="12" t="str">
        <x:v>description_text_id</x:v>
      </x:c>
      <x:c r="E1" s="12" t="str">
        <x:v>icon_id</x:v>
      </x:c>
      <x:c r="F1" s="12" t="str">
        <x:v>secret</x:v>
      </x:c>
      <x:c r="G1" s="12" t="str">
        <x:v>points</x:v>
      </x:c>
      <x:c r="H1" s="12" t="str">
        <x:v>trigger_type</x:v>
      </x:c>
      <x:c r="I1" s="12" t="str">
        <x:v>trigger_rule_json</x:v>
      </x:c>
      <x:c r="J1" s="12" t="str">
        <x:v>reward_key_type_id</x:v>
      </x:c>
      <x:c r="K1" s="12" t="str">
        <x:v>reward_quantity</x:v>
      </x:c>
      <x:c r="L1" s="13" t="str">
        <x:v>enabled</x:v>
      </x:c>
    </x:row>
    <x:row r="2">
      <x:c r="A2" s="40" t="str">
        <x:v>ach_first_step</x:v>
      </x:c>
      <x:c r="B2" s="41" t="str">
        <x:v>story</x:v>
      </x:c>
      <x:c r="C2" s="41" t="str">
        <x:v>ach_first_step_title</x:v>
      </x:c>
      <x:c r="D2" s="41" t="str">
        <x:v>ach_first_step_desc</x:v>
      </x:c>
      <x:c r="E2" s="41" t="str">
        <x:v>&lt;ACH_ICON&gt;</x:v>
      </x:c>
      <x:c r="F2" s="42" t="b">
        <x:v>0</x:v>
      </x:c>
      <x:c r="G2" s="41" t="n">
        <x:v>10</x:v>
      </x:c>
      <x:c r="H2" s="41" t="str">
        <x:v>story_beat</x:v>
      </x:c>
      <x:c r="I2" s="41" t="str">
        <x:v>{"beat_id":"beat_05_beach"}</x:v>
      </x:c>
      <x:c r="J2" s="41" t="str"/>
      <x:c r="K2" s="41" t="n">
        <x:v>0</x:v>
      </x:c>
      <x:c r="L2" s="43" t="b">
        <x:v>1</x:v>
      </x:c>
    </x:row>
    <x:row r="3">
      <x:c r="A3" s="44" t="str">
        <x:v>ach_perfect_quiz</x:v>
      </x:c>
      <x:c r="B3" s="45" t="str">
        <x:v>church</x:v>
      </x:c>
      <x:c r="C3" s="45" t="str">
        <x:v>ach_quiz_perfect_title</x:v>
      </x:c>
      <x:c r="D3" s="45" t="str">
        <x:v>ach_quiz_perfect_desc</x:v>
      </x:c>
      <x:c r="E3" s="45" t="str">
        <x:v>&lt;ACH_ICON&gt;</x:v>
      </x:c>
      <x:c r="F3" s="46" t="b">
        <x:v>0</x:v>
      </x:c>
      <x:c r="G3" s="45" t="n">
        <x:v>20</x:v>
      </x:c>
      <x:c r="H3" s="45" t="str">
        <x:v>quiz</x:v>
      </x:c>
      <x:c r="I3" s="45" t="str">
        <x:v>{"score_percent":100}</x:v>
      </x:c>
      <x:c r="J3" s="45" t="str">
        <x:v>key_candle</x:v>
      </x:c>
      <x:c r="K3" s="45" t="n">
        <x:v>1</x:v>
      </x:c>
      <x:c r="L3" s="47" t="b">
        <x:v>1</x:v>
      </x:c>
    </x:row>
    <x:row r="4">
      <x:c r="A4" s="44" t="str">
        <x:v>ach_first_harvest</x:v>
      </x:c>
      <x:c r="B4" s="45" t="str">
        <x:v>farm</x:v>
      </x:c>
      <x:c r="C4" s="45" t="str">
        <x:v>ach_first_harvest_title</x:v>
      </x:c>
      <x:c r="D4" s="45" t="str">
        <x:v>ach_first_harvest_desc</x:v>
      </x:c>
      <x:c r="E4" s="45" t="str">
        <x:v>&lt;ACH_ICON&gt;</x:v>
      </x:c>
      <x:c r="F4" s="46" t="b">
        <x:v>0</x:v>
      </x:c>
      <x:c r="G4" s="45" t="n">
        <x:v>15</x:v>
      </x:c>
      <x:c r="H4" s="45" t="str">
        <x:v>farm</x:v>
      </x:c>
      <x:c r="I4" s="45" t="str">
        <x:v>{"harvest_count":1}</x:v>
      </x:c>
      <x:c r="J4" s="45" t="str"/>
      <x:c r="K4" s="45" t="n">
        <x:v>0</x:v>
      </x:c>
      <x:c r="L4" s="47" t="b">
        <x:v>1</x:v>
      </x:c>
    </x:row>
    <x:row r="5">
      <x:c r="A5" s="48" t="str">
        <x:v>ach_secret_001</x:v>
      </x:c>
      <x:c r="B5" s="49" t="str">
        <x:v>secret</x:v>
      </x:c>
      <x:c r="C5" s="49" t="str">
        <x:v>ach_secret_001_title</x:v>
      </x:c>
      <x:c r="D5" s="49" t="str">
        <x:v>ach_secret_001_desc</x:v>
      </x:c>
      <x:c r="E5" s="49" t="str">
        <x:v>&lt;SECRET_ICON&gt;</x:v>
      </x:c>
      <x:c r="F5" s="50" t="b">
        <x:v>1</x:v>
      </x:c>
      <x:c r="G5" s="49" t="n">
        <x:v>50</x:v>
      </x:c>
      <x:c r="H5" s="49" t="str">
        <x:v>custom</x:v>
      </x:c>
      <x:c r="I5" s="49" t="str">
        <x:v>{}</x:v>
      </x:c>
      <x:c r="J5" s="49" t="str"/>
      <x:c r="K5" s="49" t="n">
        <x:v>0</x:v>
      </x:c>
      <x:c r="L5" s="51" t="b">
        <x:v>1</x:v>
      </x:c>
    </x:row>
  </x:sheetData>
  <x:conditionalFormatting sqref="L2:L5000">
    <x:cfRule type="cellIs" dxfId="38" priority="1" operator="equal">
      <x:formula>FALSE</x:formula>
    </x:cfRule>
    <x:cfRule type="cellIs" dxfId="39" priority="2" operator="equal">
      <x:formula>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0f256bc464f442e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16" hidden="0" customWidth="1"/>
    <x:col min="5" max="5" width="16" hidden="0" customWidth="1"/>
    <x:col min="6" max="6" width="24" hidden="0" customWidth="1"/>
    <x:col min="7" max="7" width="24" hidden="0" customWidth="1"/>
    <x:col min="8" max="8" width="23" hidden="0" customWidth="1"/>
    <x:col min="9" max="9" width="23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23" hidden="0" customWidth="1"/>
  </x:cols>
  <x:sheetData>
    <x:row r="1" ht="34" customHeight="1">
      <x:c r="A1" s="11" t="str">
        <x:v>user_route_key</x:v>
      </x:c>
      <x:c r="B1" s="12" t="str">
        <x:v>user_id</x:v>
      </x:c>
      <x:c r="C1" s="12" t="str">
        <x:v>story_route_id</x:v>
      </x:c>
      <x:c r="D1" s="12" t="str">
        <x:v>story_version</x:v>
      </x:c>
      <x:c r="E1" s="12" t="str">
        <x:v>status</x:v>
      </x:c>
      <x:c r="F1" s="12" t="str">
        <x:v>current_beat_id</x:v>
      </x:c>
      <x:c r="G1" s="12" t="str">
        <x:v>last_checkpoint_id</x:v>
      </x:c>
      <x:c r="H1" s="12" t="str">
        <x:v>started_at</x:v>
      </x:c>
      <x:c r="I1" s="12" t="str">
        <x:v>completed_at</x:v>
      </x:c>
      <x:c r="J1" s="12" t="str">
        <x:v>first_journey_completed</x:v>
      </x:c>
      <x:c r="K1" s="12" t="str">
        <x:v>force_first_journey</x:v>
      </x:c>
      <x:c r="L1" s="12" t="str">
        <x:v>map_unlocked</x:v>
      </x:c>
      <x:c r="M1" s="12" t="str">
        <x:v>current_location</x:v>
      </x:c>
      <x:c r="N1" s="13" t="str">
        <x:v>updated_at</x:v>
      </x:c>
    </x:row>
    <x:row r="2">
      <x:c r="A2" s="113" t="str">
        <x:v>veoulla|first_journey</x:v>
      </x:c>
      <x:c r="B2" s="114" t="str">
        <x:v>veoulla</x:v>
      </x:c>
      <x:c r="C2" s="114" t="str">
        <x:v>first_journey</x:v>
      </x:c>
      <x:c r="D2" s="114" t="str">
        <x:v>first_journey_v1</x:v>
      </x:c>
      <x:c r="E2" s="114" t="str">
        <x:v>not_started</x:v>
      </x:c>
      <x:c r="F2" s="114" t="str">
        <x:v>beat_01_boot</x:v>
      </x:c>
      <x:c r="G2" s="114" t="str"/>
      <x:c r="H2" s="114" t="str"/>
      <x:c r="I2" s="114" t="str"/>
      <x:c r="J2" s="114" t="n">
        <x:v>0</x:v>
      </x:c>
      <x:c r="K2" s="114" t="n">
        <x:v>0</x:v>
      </x:c>
      <x:c r="L2" s="118" t="b">
        <x:v>0</x:v>
      </x:c>
      <x:c r="M2" s="114" t="str">
        <x:v>gate</x:v>
      </x:c>
      <x:c r="N2" s="115" t="str"/>
    </x:row>
  </x:sheetData>
  <x:dataValidations count="1">
    <x:dataValidation type="list" sqref="E2:E1000">
      <x:formula1>"not_started,active,completed"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ee417dc9deb4cd5"/>
  </x:tableParts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23" hidden="0" customWidth="1"/>
    <x:col min="8" max="8" width="24" hidden="0" customWidth="1"/>
    <x:col min="9" max="9" width="23" hidden="0" customWidth="1"/>
    <x:col min="10" max="10" width="23" hidden="0" customWidth="1"/>
  </x:cols>
  <x:sheetData>
    <x:row r="1" ht="34" customHeight="1">
      <x:c r="A1" s="11" t="str">
        <x:v>user_key_type</x:v>
      </x:c>
      <x:c r="B1" s="12" t="str">
        <x:v>user_id</x:v>
      </x:c>
      <x:c r="C1" s="12" t="str">
        <x:v>key_type_id</x:v>
      </x:c>
      <x:c r="D1" s="12" t="str">
        <x:v>quantity_found</x:v>
      </x:c>
      <x:c r="E1" s="12" t="str">
        <x:v>quantity_spent</x:v>
      </x:c>
      <x:c r="F1" s="12" t="str">
        <x:v>quantity_available</x:v>
      </x:c>
      <x:c r="G1" s="12" t="str">
        <x:v>last_found_at</x:v>
      </x:c>
      <x:c r="H1" s="12" t="str">
        <x:v>last_source_id</x:v>
      </x:c>
      <x:c r="I1" s="12" t="str">
        <x:v>last_award_date</x:v>
      </x:c>
      <x:c r="J1" s="13" t="str">
        <x:v>updated_at</x:v>
      </x:c>
    </x:row>
    <x:row r="2">
      <x:c r="A2" s="40" t="str">
        <x:v>veoulla|key_shell</x:v>
      </x:c>
      <x:c r="B2" s="41" t="str">
        <x:v>veoulla</x:v>
      </x:c>
      <x:c r="C2" s="41" t="str">
        <x:v>key_shell</x:v>
      </x:c>
      <x:c r="D2" s="41" t="n">
        <x:v>0</x:v>
      </x:c>
      <x:c r="E2" s="41" t="n">
        <x:v>0</x:v>
      </x:c>
      <x:c r="F2" s="129" t="n">
        <x:f>D2-E2</x:f>
        <x:v>0</x:v>
      </x:c>
      <x:c r="G2" s="41" t="str"/>
      <x:c r="H2" s="41" t="str"/>
      <x:c r="I2" s="41" t="str"/>
      <x:c r="J2" s="104" t="str"/>
    </x:row>
    <x:row r="3">
      <x:c r="A3" s="44" t="str">
        <x:v>veoulla|key_candle</x:v>
      </x:c>
      <x:c r="B3" s="45" t="str">
        <x:v>veoulla</x:v>
      </x:c>
      <x:c r="C3" s="45" t="str">
        <x:v>key_candle</x:v>
      </x:c>
      <x:c r="D3" s="45" t="n">
        <x:v>0</x:v>
      </x:c>
      <x:c r="E3" s="45" t="n">
        <x:v>0</x:v>
      </x:c>
      <x:c r="F3" s="130" t="n">
        <x:f>D3-E3</x:f>
        <x:v>0</x:v>
      </x:c>
      <x:c r="G3" s="45" t="str"/>
      <x:c r="H3" s="45" t="str"/>
      <x:c r="I3" s="45" t="str"/>
      <x:c r="J3" s="105" t="str"/>
    </x:row>
    <x:row r="4">
      <x:c r="A4" s="44" t="str">
        <x:v>veoulla|key_music</x:v>
      </x:c>
      <x:c r="B4" s="45" t="str">
        <x:v>veoulla</x:v>
      </x:c>
      <x:c r="C4" s="45" t="str">
        <x:v>key_music</x:v>
      </x:c>
      <x:c r="D4" s="45" t="n">
        <x:v>0</x:v>
      </x:c>
      <x:c r="E4" s="45" t="n">
        <x:v>0</x:v>
      </x:c>
      <x:c r="F4" s="130" t="n">
        <x:f>D4-E4</x:f>
        <x:v>0</x:v>
      </x:c>
      <x:c r="G4" s="45" t="str"/>
      <x:c r="H4" s="45" t="str"/>
      <x:c r="I4" s="45" t="str"/>
      <x:c r="J4" s="105" t="str"/>
    </x:row>
    <x:row r="5">
      <x:c r="A5" s="44" t="str">
        <x:v>veoulla|key_token</x:v>
      </x:c>
      <x:c r="B5" s="45" t="str">
        <x:v>veoulla</x:v>
      </x:c>
      <x:c r="C5" s="45" t="str">
        <x:v>key_token</x:v>
      </x:c>
      <x:c r="D5" s="45" t="n">
        <x:v>0</x:v>
      </x:c>
      <x:c r="E5" s="45" t="n">
        <x:v>0</x:v>
      </x:c>
      <x:c r="F5" s="130" t="n">
        <x:f>D5-E5</x:f>
        <x:v>0</x:v>
      </x:c>
      <x:c r="G5" s="45" t="str"/>
      <x:c r="H5" s="45" t="str"/>
      <x:c r="I5" s="45" t="str"/>
      <x:c r="J5" s="105" t="str"/>
    </x:row>
    <x:row r="6">
      <x:c r="A6" s="44" t="str">
        <x:v>veoulla|key_letter</x:v>
      </x:c>
      <x:c r="B6" s="45" t="str">
        <x:v>veoulla</x:v>
      </x:c>
      <x:c r="C6" s="45" t="str">
        <x:v>key_letter</x:v>
      </x:c>
      <x:c r="D6" s="45" t="n">
        <x:v>0</x:v>
      </x:c>
      <x:c r="E6" s="45" t="n">
        <x:v>0</x:v>
      </x:c>
      <x:c r="F6" s="130" t="n">
        <x:f>D6-E6</x:f>
        <x:v>0</x:v>
      </x:c>
      <x:c r="G6" s="45" t="str"/>
      <x:c r="H6" s="45" t="str"/>
      <x:c r="I6" s="45" t="str"/>
      <x:c r="J6" s="105" t="str"/>
    </x:row>
    <x:row r="7">
      <x:c r="A7" s="44" t="str">
        <x:v>veoulla|key_sunflower</x:v>
      </x:c>
      <x:c r="B7" s="45" t="str">
        <x:v>veoulla</x:v>
      </x:c>
      <x:c r="C7" s="45" t="str">
        <x:v>key_sunflower</x:v>
      </x:c>
      <x:c r="D7" s="45" t="n">
        <x:v>0</x:v>
      </x:c>
      <x:c r="E7" s="45" t="n">
        <x:v>0</x:v>
      </x:c>
      <x:c r="F7" s="130" t="n">
        <x:f>D7-E7</x:f>
        <x:v>0</x:v>
      </x:c>
      <x:c r="G7" s="45" t="str"/>
      <x:c r="H7" s="45" t="str"/>
      <x:c r="I7" s="45" t="str"/>
      <x:c r="J7" s="105" t="str"/>
    </x:row>
    <x:row r="8">
      <x:c r="A8" s="48" t="str">
        <x:v>veoulla|key_everkeep</x:v>
      </x:c>
      <x:c r="B8" s="49" t="str">
        <x:v>veoulla</x:v>
      </x:c>
      <x:c r="C8" s="49" t="str">
        <x:v>key_everkeep</x:v>
      </x:c>
      <x:c r="D8" s="49" t="n">
        <x:v>0</x:v>
      </x:c>
      <x:c r="E8" s="49" t="n">
        <x:v>0</x:v>
      </x:c>
      <x:c r="F8" s="131" t="n">
        <x:f>D8-E8</x:f>
        <x:v>0</x:v>
      </x:c>
      <x:c r="G8" s="49" t="str"/>
      <x:c r="H8" s="49" t="str"/>
      <x:c r="I8" s="49" t="str"/>
      <x:c r="J8" s="106" t="str"/>
    </x:row>
  </x:sheetData>
  <x:pageMargins left="0.7" right="0.7" top="0.75" bottom="0.75" header="0.3" footer="0.3"/>
  <x:tableParts count="1">
    <x:tablePart xmlns:r="http://schemas.openxmlformats.org/officeDocument/2006/relationships" r:id="R5459709c84dd4dff"/>
  </x:tableParts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16" hidden="0" customWidth="1"/>
    <x:col min="5" max="5" width="16" hidden="0" customWidth="1"/>
    <x:col min="6" max="6" width="23" hidden="0" customWidth="1"/>
    <x:col min="7" max="7" width="16" hidden="0" customWidth="1"/>
    <x:col min="8" max="8" width="23" hidden="0" customWidth="1"/>
    <x:col min="9" max="9" width="23" hidden="0" customWidth="1"/>
  </x:cols>
  <x:sheetData>
    <x:row r="1" ht="34" customHeight="1">
      <x:c r="A1" s="11" t="str">
        <x:v>user_achievement_key</x:v>
      </x:c>
      <x:c r="B1" s="12" t="str">
        <x:v>user_id</x:v>
      </x:c>
      <x:c r="C1" s="12" t="str">
        <x:v>achievement_id</x:v>
      </x:c>
      <x:c r="D1" s="12" t="str">
        <x:v>status</x:v>
      </x:c>
      <x:c r="E1" s="12" t="str">
        <x:v>progress_value</x:v>
      </x:c>
      <x:c r="F1" s="12" t="str">
        <x:v>unlocked_at</x:v>
      </x:c>
      <x:c r="G1" s="12" t="str">
        <x:v>claimed</x:v>
      </x:c>
      <x:c r="H1" s="12" t="str">
        <x:v>reward_claimed_at</x:v>
      </x:c>
      <x:c r="I1" s="13" t="str">
        <x:v>updated_at</x:v>
      </x:c>
    </x:row>
    <x:row r="2">
      <x:c r="A2" s="113" t="str">
        <x:v>veoulla|ach_first_step</x:v>
      </x:c>
      <x:c r="B2" s="114" t="str">
        <x:v>veoulla</x:v>
      </x:c>
      <x:c r="C2" s="114" t="str">
        <x:v>ach_first_step</x:v>
      </x:c>
      <x:c r="D2" s="114" t="str">
        <x:v>locked</x:v>
      </x:c>
      <x:c r="E2" s="114" t="n">
        <x:v>0</x:v>
      </x:c>
      <x:c r="F2" s="114" t="str"/>
      <x:c r="G2" s="118" t="b">
        <x:v>0</x:v>
      </x:c>
      <x:c r="H2" s="114" t="str"/>
      <x:c r="I2" s="115" t="str"/>
    </x:row>
  </x:sheetData>
  <x:dataValidations count="1">
    <x:dataValidation type="list" sqref="D2:D5000">
      <x:formula1>"locked,in_progress,unlocked,claimed"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cdc72092bef453f"/>
  </x:tableParts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16" hidden="0" customWidth="1"/>
    <x:col min="5" max="5" width="16" hidden="0" customWidth="1"/>
    <x:col min="6" max="6" width="23" hidden="0" customWidth="1"/>
    <x:col min="7" max="7" width="23" hidden="0" customWidth="1"/>
    <x:col min="8" max="8" width="23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23" hidden="0" customWidth="1"/>
  </x:cols>
  <x:sheetData>
    <x:row r="1" ht="34" customHeight="1">
      <x:c r="A1" s="11" t="str">
        <x:v>user_message_key</x:v>
      </x:c>
      <x:c r="B1" s="12" t="str">
        <x:v>user_id</x:v>
      </x:c>
      <x:c r="C1" s="12" t="str">
        <x:v>message_id</x:v>
      </x:c>
      <x:c r="D1" s="12" t="str">
        <x:v>delivery_status</x:v>
      </x:c>
      <x:c r="E1" s="12" t="str">
        <x:v>read_status</x:v>
      </x:c>
      <x:c r="F1" s="12" t="str">
        <x:v>delivered_at</x:v>
      </x:c>
      <x:c r="G1" s="12" t="str">
        <x:v>opened_at</x:v>
      </x:c>
      <x:c r="H1" s="12" t="str">
        <x:v>archived_at</x:v>
      </x:c>
      <x:c r="I1" s="12" t="str">
        <x:v>initial_locale</x:v>
      </x:c>
      <x:c r="J1" s="12" t="str">
        <x:v>current_translation_locale</x:v>
      </x:c>
      <x:c r="K1" s="12" t="str">
        <x:v>voice_played</x:v>
      </x:c>
      <x:c r="L1" s="12" t="str">
        <x:v>gift_claimed</x:v>
      </x:c>
      <x:c r="M1" s="13" t="str">
        <x:v>updated_at</x:v>
      </x:c>
    </x:row>
    <x:row r="2">
      <x:c r="A2" s="113" t="str">
        <x:v>veoulla|msg_welcome_ahmed</x:v>
      </x:c>
      <x:c r="B2" s="114" t="str">
        <x:v>veoulla</x:v>
      </x:c>
      <x:c r="C2" s="114" t="str">
        <x:v>msg_welcome_ahmed</x:v>
      </x:c>
      <x:c r="D2" s="114" t="str">
        <x:v>pending</x:v>
      </x:c>
      <x:c r="E2" s="114" t="str">
        <x:v>unread</x:v>
      </x:c>
      <x:c r="F2" s="114" t="str"/>
      <x:c r="G2" s="114" t="str"/>
      <x:c r="H2" s="114" t="str"/>
      <x:c r="I2" s="114" t="str">
        <x:v>en</x:v>
      </x:c>
      <x:c r="J2" s="114" t="str">
        <x:v>en</x:v>
      </x:c>
      <x:c r="K2" s="118" t="b">
        <x:v>0</x:v>
      </x:c>
      <x:c r="L2" s="118" t="b">
        <x:v>0</x:v>
      </x:c>
      <x:c r="M2" s="115" t="str"/>
    </x:row>
  </x:sheetData>
  <x:pageMargins left="0.7" right="0.7" top="0.75" bottom="0.75" header="0.3" footer="0.3"/>
  <x:tableParts count="1">
    <x:tablePart xmlns:r="http://schemas.openxmlformats.org/officeDocument/2006/relationships" r:id="R7ce248698f45415b"/>
  </x:tableParts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34" hidden="0" customWidth="1"/>
  </x:cols>
  <x:sheetData>
    <x:row r="1" ht="34" customHeight="1">
      <x:c r="A1" s="11" t="str">
        <x:v>crop_id</x:v>
      </x:c>
      <x:c r="B1" s="12" t="str">
        <x:v>display_name_text_id</x:v>
      </x:c>
      <x:c r="C1" s="12" t="str">
        <x:v>seed_icon_id</x:v>
      </x:c>
      <x:c r="D1" s="12" t="str">
        <x:v>crop_icon_id</x:v>
      </x:c>
      <x:c r="E1" s="12" t="str">
        <x:v>grow_hours</x:v>
      </x:c>
      <x:c r="F1" s="12" t="str">
        <x:v>watering_interval_hours</x:v>
      </x:c>
      <x:c r="G1" s="12" t="str">
        <x:v>wilt_after_hours</x:v>
      </x:c>
      <x:c r="H1" s="12" t="str">
        <x:v>rain_waters</x:v>
      </x:c>
      <x:c r="I1" s="12" t="str">
        <x:v>harvest_yield</x:v>
      </x:c>
      <x:c r="J1" s="12" t="str">
        <x:v>rarity</x:v>
      </x:c>
      <x:c r="K1" s="12" t="str">
        <x:v>enabled</x:v>
      </x:c>
      <x:c r="L1" s="13" t="str">
        <x:v>notes</x:v>
      </x:c>
    </x:row>
    <x:row r="2">
      <x:c r="A2" s="40" t="str">
        <x:v>sunflower</x:v>
      </x:c>
      <x:c r="B2" s="41" t="str">
        <x:v>crop_sunflower_name</x:v>
      </x:c>
      <x:c r="C2" s="41" t="str">
        <x:v>seed_sunflower_icon</x:v>
      </x:c>
      <x:c r="D2" s="41" t="str">
        <x:v>crop_sunflower_icon</x:v>
      </x:c>
      <x:c r="E2" s="41" t="n">
        <x:v>72</x:v>
      </x:c>
      <x:c r="F2" s="41" t="n">
        <x:v>24</x:v>
      </x:c>
      <x:c r="G2" s="41" t="n">
        <x:v>36</x:v>
      </x:c>
      <x:c r="H2" s="42" t="b">
        <x:v>1</x:v>
      </x:c>
      <x:c r="I2" s="41" t="n">
        <x:v>1</x:v>
      </x:c>
      <x:c r="J2" s="41" t="str">
        <x:v>common</x:v>
      </x:c>
      <x:c r="K2" s="42" t="b">
        <x:v>1</x:v>
      </x:c>
      <x:c r="L2" s="104" t="str">
        <x:v>Cottage decoration</x:v>
      </x:c>
    </x:row>
    <x:row r="3">
      <x:c r="A3" s="44" t="str">
        <x:v>mango</x:v>
      </x:c>
      <x:c r="B3" s="45" t="str">
        <x:v>crop_mango_name</x:v>
      </x:c>
      <x:c r="C3" s="45" t="str">
        <x:v>seed_mango_icon</x:v>
      </x:c>
      <x:c r="D3" s="45" t="str">
        <x:v>crop_mango_icon</x:v>
      </x:c>
      <x:c r="E3" s="45" t="n">
        <x:v>168</x:v>
      </x:c>
      <x:c r="F3" s="45" t="n">
        <x:v>48</x:v>
      </x:c>
      <x:c r="G3" s="45" t="n">
        <x:v>72</x:v>
      </x:c>
      <x:c r="H3" s="46" t="b">
        <x:v>1</x:v>
      </x:c>
      <x:c r="I3" s="45" t="n">
        <x:v>3</x:v>
      </x:c>
      <x:c r="J3" s="45" t="str">
        <x:v>uncommon</x:v>
      </x:c>
      <x:c r="K3" s="46" t="b">
        <x:v>1</x:v>
      </x:c>
      <x:c r="L3" s="105" t="str">
        <x:v>Café drink ingredient</x:v>
      </x:c>
    </x:row>
    <x:row r="4">
      <x:c r="A4" s="48" t="str">
        <x:v>blueberry</x:v>
      </x:c>
      <x:c r="B4" s="49" t="str">
        <x:v>crop_blueberry_name</x:v>
      </x:c>
      <x:c r="C4" s="49" t="str">
        <x:v>seed_blueberry_icon</x:v>
      </x:c>
      <x:c r="D4" s="49" t="str">
        <x:v>crop_blueberry_icon</x:v>
      </x:c>
      <x:c r="E4" s="49" t="n">
        <x:v>96</x:v>
      </x:c>
      <x:c r="F4" s="49" t="n">
        <x:v>24</x:v>
      </x:c>
      <x:c r="G4" s="49" t="n">
        <x:v>36</x:v>
      </x:c>
      <x:c r="H4" s="50" t="b">
        <x:v>1</x:v>
      </x:c>
      <x:c r="I4" s="49" t="n">
        <x:v>5</x:v>
      </x:c>
      <x:c r="J4" s="49" t="str">
        <x:v>common</x:v>
      </x:c>
      <x:c r="K4" s="50" t="b">
        <x:v>1</x:v>
      </x:c>
      <x:c r="L4" s="106" t="str">
        <x:v>Café drink ingredient</x:v>
      </x:c>
    </x:row>
  </x:sheetData>
  <x:conditionalFormatting sqref="K2:K5000">
    <x:cfRule type="cellIs" dxfId="40" priority="1" operator="equal">
      <x:formula>FALSE</x:formula>
    </x:cfRule>
    <x:cfRule type="cellIs" dxfId="41" priority="2" operator="equal">
      <x:formula>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b831fc7cae6417e"/>
  </x:tableParts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16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16" hidden="0" customWidth="1"/>
    <x:col min="12" max="12" width="23" hidden="0" customWidth="1"/>
  </x:cols>
  <x:sheetData>
    <x:row r="1" ht="34" customHeight="1">
      <x:c r="A1" s="11" t="str">
        <x:v>user_plot_key</x:v>
      </x:c>
      <x:c r="B1" s="12" t="str">
        <x:v>user_id</x:v>
      </x:c>
      <x:c r="C1" s="12" t="str">
        <x:v>plot_id</x:v>
      </x:c>
      <x:c r="D1" s="12" t="str">
        <x:v>crop_id</x:v>
      </x:c>
      <x:c r="E1" s="12" t="str">
        <x:v>state</x:v>
      </x:c>
      <x:c r="F1" s="12" t="str">
        <x:v>planted_at</x:v>
      </x:c>
      <x:c r="G1" s="12" t="str">
        <x:v>last_watered_at</x:v>
      </x:c>
      <x:c r="H1" s="12" t="str">
        <x:v>next_water_due_at</x:v>
      </x:c>
      <x:c r="I1" s="12" t="str">
        <x:v>ready_at</x:v>
      </x:c>
      <x:c r="J1" s="12" t="str">
        <x:v>wilted_at</x:v>
      </x:c>
      <x:c r="K1" s="12" t="str">
        <x:v>harvest_count</x:v>
      </x:c>
      <x:c r="L1" s="13" t="str">
        <x:v>updated_at</x:v>
      </x:c>
    </x:row>
    <x:row r="2">
      <x:c r="A2" s="40" t="str">
        <x:v>veoulla|plot_01</x:v>
      </x:c>
      <x:c r="B2" s="41" t="str">
        <x:v>veoulla</x:v>
      </x:c>
      <x:c r="C2" s="41" t="str">
        <x:v>plot_01</x:v>
      </x:c>
      <x:c r="D2" s="41" t="str"/>
      <x:c r="E2" s="41" t="str">
        <x:v>empty</x:v>
      </x:c>
      <x:c r="F2" s="41" t="str"/>
      <x:c r="G2" s="41" t="str"/>
      <x:c r="H2" s="41" t="str"/>
      <x:c r="I2" s="41" t="str"/>
      <x:c r="J2" s="41" t="str"/>
      <x:c r="K2" s="41" t="n">
        <x:v>0</x:v>
      </x:c>
      <x:c r="L2" s="104" t="str"/>
    </x:row>
    <x:row r="3">
      <x:c r="A3" s="44" t="str">
        <x:v>veoulla|plot_02</x:v>
      </x:c>
      <x:c r="B3" s="45" t="str">
        <x:v>veoulla</x:v>
      </x:c>
      <x:c r="C3" s="45" t="str">
        <x:v>plot_02</x:v>
      </x:c>
      <x:c r="D3" s="45" t="str"/>
      <x:c r="E3" s="45" t="str">
        <x:v>empty</x:v>
      </x:c>
      <x:c r="F3" s="45" t="str"/>
      <x:c r="G3" s="45" t="str"/>
      <x:c r="H3" s="45" t="str"/>
      <x:c r="I3" s="45" t="str"/>
      <x:c r="J3" s="45" t="str"/>
      <x:c r="K3" s="45" t="n">
        <x:v>0</x:v>
      </x:c>
      <x:c r="L3" s="105" t="str"/>
    </x:row>
    <x:row r="4">
      <x:c r="A4" s="48" t="str">
        <x:v>veoulla|plot_03</x:v>
      </x:c>
      <x:c r="B4" s="49" t="str">
        <x:v>veoulla</x:v>
      </x:c>
      <x:c r="C4" s="49" t="str">
        <x:v>plot_03</x:v>
      </x:c>
      <x:c r="D4" s="49" t="str"/>
      <x:c r="E4" s="49" t="str">
        <x:v>empty</x:v>
      </x:c>
      <x:c r="F4" s="49" t="str"/>
      <x:c r="G4" s="49" t="str"/>
      <x:c r="H4" s="49" t="str"/>
      <x:c r="I4" s="49" t="str"/>
      <x:c r="J4" s="49" t="str"/>
      <x:c r="K4" s="49" t="n">
        <x:v>0</x:v>
      </x:c>
      <x:c r="L4" s="106" t="str"/>
    </x:row>
  </x:sheetData>
  <x:dataValidations count="1">
    <x:dataValidation type="list" sqref="E2:E5000">
      <x:formula1>"empty,planted,growing,wilted,ready"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c7451108c91442a"/>
  </x:tableParts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6" hidden="0" customWidth="1"/>
    <x:col min="4" max="4" width="23" hidden="0" customWidth="1"/>
    <x:col min="5" max="5" width="16" hidden="0" customWidth="1"/>
    <x:col min="6" max="6" width="24" hidden="0" customWidth="1"/>
    <x:col min="7" max="7" width="38" hidden="0" customWidth="1"/>
    <x:col min="8" max="8" width="16" hidden="0" customWidth="1"/>
    <x:col min="9" max="9" width="32" hidden="0" customWidth="1"/>
    <x:col min="10" max="10" width="24" hidden="0" customWidth="1"/>
    <x:col min="11" max="11" width="16" hidden="0" customWidth="1"/>
    <x:col min="12" max="12" width="32" hidden="0" customWidth="1"/>
    <x:col min="13" max="13" width="16" hidden="0" customWidth="1"/>
    <x:col min="14" max="14" width="16" hidden="0" customWidth="1"/>
  </x:cols>
  <x:sheetData>
    <x:row r="1" ht="34" customHeight="1">
      <x:c r="A1" s="11" t="str">
        <x:v>content_row_id</x:v>
      </x:c>
      <x:c r="B1" s="12" t="str">
        <x:v>content_id</x:v>
      </x:c>
      <x:c r="C1" s="12" t="str">
        <x:v>content_type</x:v>
      </x:c>
      <x:c r="D1" s="12" t="str">
        <x:v>active_date</x:v>
      </x:c>
      <x:c r="E1" s="12" t="str">
        <x:v>locale</x:v>
      </x:c>
      <x:c r="F1" s="12" t="str">
        <x:v>title</x:v>
      </x:c>
      <x:c r="G1" s="12" t="str">
        <x:v>text</x:v>
      </x:c>
      <x:c r="H1" s="12" t="str">
        <x:v>direction</x:v>
      </x:c>
      <x:c r="I1" s="12" t="str">
        <x:v>image_asset_ids</x:v>
      </x:c>
      <x:c r="J1" s="12" t="str">
        <x:v>voiceover_id</x:v>
      </x:c>
      <x:c r="K1" s="12" t="str">
        <x:v>bible_reference</x:v>
      </x:c>
      <x:c r="L1" s="12" t="str">
        <x:v>source_url</x:v>
      </x:c>
      <x:c r="M1" s="12" t="str">
        <x:v>review_status</x:v>
      </x:c>
      <x:c r="N1" s="13" t="str">
        <x:v>enabled</x:v>
      </x:c>
    </x:row>
    <x:row r="2">
      <x:c r="A2" s="40" t="str">
        <x:v>church_verse_001_en</x:v>
      </x:c>
      <x:c r="B2" s="41" t="str">
        <x:v>church_verse_001</x:v>
      </x:c>
      <x:c r="C2" s="41" t="str">
        <x:v>verse</x:v>
      </x:c>
      <x:c r="D2" s="41" t="str">
        <x:v>2026-09-26</x:v>
      </x:c>
      <x:c r="E2" s="41" t="str">
        <x:v>en</x:v>
      </x:c>
      <x:c r="F2" s="41" t="str">
        <x:v>Birthday Verse</x:v>
      </x:c>
      <x:c r="G2" s="41" t="str">
        <x:v>&lt;REVIEWED VERSE TEXT&gt;</x:v>
      </x:c>
      <x:c r="H2" s="41" t="str">
        <x:v>ltr</x:v>
      </x:c>
      <x:c r="I2" s="41" t="str"/>
      <x:c r="J2" s="41" t="str">
        <x:v>vo_church_verse_en</x:v>
      </x:c>
      <x:c r="K2" s="41" t="str">
        <x:v>&lt;REFERENCE&gt;</x:v>
      </x:c>
      <x:c r="L2" s="41" t="str">
        <x:v>&lt;APPROVED_SOURCE_URL&gt;</x:v>
      </x:c>
      <x:c r="M2" s="41" t="str">
        <x:v>pending_review</x:v>
      </x:c>
      <x:c r="N2" s="43" t="b">
        <x:v>0</x:v>
      </x:c>
    </x:row>
    <x:row r="3">
      <x:c r="A3" s="48" t="str">
        <x:v>church_verse_001_ar</x:v>
      </x:c>
      <x:c r="B3" s="49" t="str">
        <x:v>church_verse_001</x:v>
      </x:c>
      <x:c r="C3" s="49" t="str">
        <x:v>verse</x:v>
      </x:c>
      <x:c r="D3" s="49" t="str">
        <x:v>2026-09-26</x:v>
      </x:c>
      <x:c r="E3" s="49" t="str">
        <x:v>ar-EG</x:v>
      </x:c>
      <x:c r="F3" s="49" t="str">
        <x:v>آية عيد الميلاد</x:v>
      </x:c>
      <x:c r="G3" s="49" t="str">
        <x:v>&lt;نص الآية بعد المراجعة&gt;</x:v>
      </x:c>
      <x:c r="H3" s="49" t="str">
        <x:v>rtl</x:v>
      </x:c>
      <x:c r="I3" s="49" t="str"/>
      <x:c r="J3" s="49" t="str">
        <x:v>vo_church_verse_ar</x:v>
      </x:c>
      <x:c r="K3" s="49" t="str">
        <x:v>&lt;REFERENCE&gt;</x:v>
      </x:c>
      <x:c r="L3" s="49" t="str">
        <x:v>&lt;APPROVED_SOURCE_URL&gt;</x:v>
      </x:c>
      <x:c r="M3" s="49" t="str">
        <x:v>pending_review</x:v>
      </x:c>
      <x:c r="N3" s="51" t="b">
        <x:v>0</x:v>
      </x:c>
    </x:row>
  </x:sheetData>
  <x:conditionalFormatting sqref="N2:N5000">
    <x:cfRule type="cellIs" dxfId="42" priority="1" operator="equal">
      <x:formula>FALSE</x:formula>
    </x:cfRule>
    <x:cfRule type="cellIs" dxfId="43" priority="2" operator="equal">
      <x:formula>TRUE</x:formula>
    </x:cfRule>
  </x:conditionalFormatting>
  <x:dataValidations count="1">
    <x:dataValidation type="list" sqref="M2:M5000">
      <x:formula1>"draft,pending_review,approved,rejected"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ac3531410fe47c4"/>
  </x:tableParts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  <x:col min="3" max="3" width="23" hidden="0" customWidth="1"/>
    <x:col min="4" max="4" width="16" hidden="0" customWidth="1"/>
    <x:col min="5" max="5" width="38" hidden="0" customWidth="1"/>
    <x:col min="6" max="6" width="38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38" hidden="0" customWidth="1"/>
    <x:col min="13" max="13" width="16" hidden="0" customWidth="1"/>
    <x:col min="14" max="14" width="24" hidden="0" customWidth="1"/>
    <x:col min="15" max="15" width="24" hidden="0" customWidth="1"/>
    <x:col min="16" max="16" width="16" hidden="0" customWidth="1"/>
    <x:col min="17" max="17" width="16" hidden="0" customWidth="1"/>
  </x:cols>
  <x:sheetData>
    <x:row r="1" ht="34" customHeight="1">
      <x:c r="A1" s="11" t="str">
        <x:v>question_row_id</x:v>
      </x:c>
      <x:c r="B1" s="12" t="str">
        <x:v>question_id</x:v>
      </x:c>
      <x:c r="C1" s="12" t="str">
        <x:v>active_date</x:v>
      </x:c>
      <x:c r="D1" s="12" t="str">
        <x:v>locale</x:v>
      </x:c>
      <x:c r="E1" s="12" t="str">
        <x:v>question</x:v>
      </x:c>
      <x:c r="F1" s="12" t="str">
        <x:v>question_type</x:v>
      </x:c>
      <x:c r="G1" s="12" t="str">
        <x:v>option_a</x:v>
      </x:c>
      <x:c r="H1" s="12" t="str">
        <x:v>option_b</x:v>
      </x:c>
      <x:c r="I1" s="12" t="str">
        <x:v>option_c</x:v>
      </x:c>
      <x:c r="J1" s="12" t="str">
        <x:v>option_d</x:v>
      </x:c>
      <x:c r="K1" s="12" t="str">
        <x:v>correct_answer</x:v>
      </x:c>
      <x:c r="L1" s="12" t="str">
        <x:v>explanation</x:v>
      </x:c>
      <x:c r="M1" s="12" t="str">
        <x:v>bible_reference</x:v>
      </x:c>
      <x:c r="N1" s="12" t="str">
        <x:v>achievement_id</x:v>
      </x:c>
      <x:c r="O1" s="12" t="str">
        <x:v>key_reward_type_id</x:v>
      </x:c>
      <x:c r="P1" s="12" t="str">
        <x:v>enabled</x:v>
      </x:c>
      <x:c r="Q1" s="13" t="str">
        <x:v>review_status</x:v>
      </x:c>
    </x:row>
    <x:row r="2">
      <x:c r="A2" s="40" t="str">
        <x:v>quiz_001_en</x:v>
      </x:c>
      <x:c r="B2" s="41" t="str">
        <x:v>quiz_001</x:v>
      </x:c>
      <x:c r="C2" s="41" t="str">
        <x:v>2026-09-26</x:v>
      </x:c>
      <x:c r="D2" s="41" t="str">
        <x:v>en</x:v>
      </x:c>
      <x:c r="E2" s="41" t="str">
        <x:v>&lt;REVIEWED QUESTION&gt;</x:v>
      </x:c>
      <x:c r="F2" s="41" t="str">
        <x:v>multiple_choice</x:v>
      </x:c>
      <x:c r="G2" s="41" t="str">
        <x:v>&lt;A&gt;</x:v>
      </x:c>
      <x:c r="H2" s="41" t="str">
        <x:v>&lt;B&gt;</x:v>
      </x:c>
      <x:c r="I2" s="41" t="str">
        <x:v>&lt;C&gt;</x:v>
      </x:c>
      <x:c r="J2" s="41" t="str">
        <x:v>&lt;D&gt;</x:v>
      </x:c>
      <x:c r="K2" s="41" t="str">
        <x:v>A</x:v>
      </x:c>
      <x:c r="L2" s="41" t="str">
        <x:v>&lt;EXPLANATION&gt;</x:v>
      </x:c>
      <x:c r="M2" s="41" t="str">
        <x:v>&lt;REFERENCE&gt;</x:v>
      </x:c>
      <x:c r="N2" s="41" t="str">
        <x:v>ach_perfect_quiz</x:v>
      </x:c>
      <x:c r="O2" s="41" t="str">
        <x:v>key_candle</x:v>
      </x:c>
      <x:c r="P2" s="42" t="b">
        <x:v>0</x:v>
      </x:c>
      <x:c r="Q2" s="104" t="str">
        <x:v>pending_review</x:v>
      </x:c>
    </x:row>
    <x:row r="3">
      <x:c r="A3" s="48" t="str">
        <x:v>quiz_001_ar</x:v>
      </x:c>
      <x:c r="B3" s="49" t="str">
        <x:v>quiz_001</x:v>
      </x:c>
      <x:c r="C3" s="49" t="str">
        <x:v>2026-09-26</x:v>
      </x:c>
      <x:c r="D3" s="49" t="str">
        <x:v>ar-EG</x:v>
      </x:c>
      <x:c r="E3" s="49" t="str">
        <x:v>&lt;سؤال تمت مراجعته&gt;</x:v>
      </x:c>
      <x:c r="F3" s="49" t="str">
        <x:v>multiple_choice</x:v>
      </x:c>
      <x:c r="G3" s="49" t="str">
        <x:v>&lt;أ&gt;</x:v>
      </x:c>
      <x:c r="H3" s="49" t="str">
        <x:v>&lt;ب&gt;</x:v>
      </x:c>
      <x:c r="I3" s="49" t="str">
        <x:v>&lt;ج&gt;</x:v>
      </x:c>
      <x:c r="J3" s="49" t="str">
        <x:v>&lt;د&gt;</x:v>
      </x:c>
      <x:c r="K3" s="49" t="str">
        <x:v>A</x:v>
      </x:c>
      <x:c r="L3" s="49" t="str">
        <x:v>&lt;شرح&gt;</x:v>
      </x:c>
      <x:c r="M3" s="49" t="str">
        <x:v>&lt;REFERENCE&gt;</x:v>
      </x:c>
      <x:c r="N3" s="49" t="str">
        <x:v>ach_perfect_quiz</x:v>
      </x:c>
      <x:c r="O3" s="49" t="str">
        <x:v>key_candle</x:v>
      </x:c>
      <x:c r="P3" s="50" t="b">
        <x:v>0</x:v>
      </x:c>
      <x:c r="Q3" s="106" t="str">
        <x:v>pending_review</x:v>
      </x:c>
    </x:row>
  </x:sheetData>
  <x:conditionalFormatting sqref="P2:P5000">
    <x:cfRule type="cellIs" dxfId="44" priority="1" operator="equal">
      <x:formula>FALSE</x:formula>
    </x:cfRule>
    <x:cfRule type="cellIs" dxfId="45" priority="2" operator="equal">
      <x:formula>TRUE</x:formula>
    </x:cfRule>
  </x:conditionalFormatting>
  <x:dataValidations count="1">
    <x:dataValidation type="list" sqref="Q2:Q5000">
      <x:formula1>"draft,pending_review,approved,rejected"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d31476e6176496c"/>
  </x:tableParts>
</x:worksheet>
</file>

<file path=xl/worksheets/sheet3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24" hidden="0" customWidth="1"/>
    <x:col min="4" max="4" width="16" hidden="0" customWidth="1"/>
    <x:col min="5" max="5" width="24" hidden="0" customWidth="1"/>
    <x:col min="6" max="6" width="24" hidden="0" customWidth="1"/>
    <x:col min="7" max="7" width="24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34" hidden="0" customWidth="1"/>
  </x:cols>
  <x:sheetData>
    <x:row r="1" ht="34" customHeight="1">
      <x:c r="A1" s="11" t="str">
        <x:v>game_id</x:v>
      </x:c>
      <x:c r="B1" s="12" t="str">
        <x:v>cabinet_slot</x:v>
      </x:c>
      <x:c r="C1" s="12" t="str">
        <x:v>display_name_text_id</x:v>
      </x:c>
      <x:c r="D1" s="12" t="str">
        <x:v>game_family</x:v>
      </x:c>
      <x:c r="E1" s="12" t="str">
        <x:v>unlock_rule_id</x:v>
      </x:c>
      <x:c r="F1" s="12" t="str">
        <x:v>key_cost_type_id</x:v>
      </x:c>
      <x:c r="G1" s="12" t="str">
        <x:v>key_cost_quantity</x:v>
      </x:c>
      <x:c r="H1" s="12" t="str">
        <x:v>difficulty_mode</x:v>
      </x:c>
      <x:c r="I1" s="12" t="str">
        <x:v>score_mode</x:v>
      </x:c>
      <x:c r="J1" s="12" t="str">
        <x:v>walkman_volume_percent</x:v>
      </x:c>
      <x:c r="K1" s="12" t="str">
        <x:v>music_enabled</x:v>
      </x:c>
      <x:c r="L1" s="12" t="str">
        <x:v>sfx_enabled</x:v>
      </x:c>
      <x:c r="M1" s="12" t="str">
        <x:v>enabled</x:v>
      </x:c>
      <x:c r="N1" s="13" t="str">
        <x:v>notes</x:v>
      </x:c>
    </x:row>
    <x:row r="2">
      <x:c r="A2" s="40" t="str">
        <x:v>game_memory</x:v>
      </x:c>
      <x:c r="B2" s="41" t="n">
        <x:v>1</x:v>
      </x:c>
      <x:c r="C2" s="41" t="str">
        <x:v>game_memory_name</x:v>
      </x:c>
      <x:c r="D2" s="41" t="str">
        <x:v>memory_cards</x:v>
      </x:c>
      <x:c r="E2" s="41" t="str"/>
      <x:c r="F2" s="41" t="str"/>
      <x:c r="G2" s="41" t="n">
        <x:v>0</x:v>
      </x:c>
      <x:c r="H2" s="41" t="str">
        <x:v>adaptive</x:v>
      </x:c>
      <x:c r="I2" s="41" t="str">
        <x:v>score</x:v>
      </x:c>
      <x:c r="J2" s="41" t="n">
        <x:v>25</x:v>
      </x:c>
      <x:c r="K2" s="42" t="b">
        <x:v>0</x:v>
      </x:c>
      <x:c r="L2" s="42" t="b">
        <x:v>1</x:v>
      </x:c>
      <x:c r="M2" s="42" t="b">
        <x:v>1</x:v>
      </x:c>
      <x:c r="N2" s="104" t="str">
        <x:v>First playable game</x:v>
      </x:c>
    </x:row>
    <x:row r="3">
      <x:c r="A3" s="44" t="str">
        <x:v>game_catch</x:v>
      </x:c>
      <x:c r="B3" s="45" t="n">
        <x:v>2</x:v>
      </x:c>
      <x:c r="C3" s="45" t="str">
        <x:v>game_catch_name</x:v>
      </x:c>
      <x:c r="D3" s="45" t="str">
        <x:v>catch_items</x:v>
      </x:c>
      <x:c r="E3" s="45" t="str">
        <x:v>unlock_game_2</x:v>
      </x:c>
      <x:c r="F3" s="45" t="str">
        <x:v>key_token</x:v>
      </x:c>
      <x:c r="G3" s="45" t="n">
        <x:v>2</x:v>
      </x:c>
      <x:c r="H3" s="45" t="str">
        <x:v>adaptive</x:v>
      </x:c>
      <x:c r="I3" s="45" t="str">
        <x:v>score</x:v>
      </x:c>
      <x:c r="J3" s="45" t="n">
        <x:v>25</x:v>
      </x:c>
      <x:c r="K3" s="46" t="b">
        <x:v>0</x:v>
      </x:c>
      <x:c r="L3" s="46" t="b">
        <x:v>1</x:v>
      </x:c>
      <x:c r="M3" s="46" t="b">
        <x:v>1</x:v>
      </x:c>
      <x:c r="N3" s="105" t="str"/>
    </x:row>
    <x:row r="4">
      <x:c r="A4" s="44" t="str">
        <x:v>game_puzzle</x:v>
      </x:c>
      <x:c r="B4" s="45" t="n">
        <x:v>3</x:v>
      </x:c>
      <x:c r="C4" s="45" t="str">
        <x:v>game_puzzle_name</x:v>
      </x:c>
      <x:c r="D4" s="45" t="str">
        <x:v>picture_puzzle</x:v>
      </x:c>
      <x:c r="E4" s="45" t="str">
        <x:v>unlock_game_3</x:v>
      </x:c>
      <x:c r="F4" s="45" t="str">
        <x:v>key_token</x:v>
      </x:c>
      <x:c r="G4" s="45" t="n">
        <x:v>3</x:v>
      </x:c>
      <x:c r="H4" s="45" t="str">
        <x:v>adaptive</x:v>
      </x:c>
      <x:c r="I4" s="45" t="str">
        <x:v>time_and_moves</x:v>
      </x:c>
      <x:c r="J4" s="45" t="n">
        <x:v>25</x:v>
      </x:c>
      <x:c r="K4" s="46" t="b">
        <x:v>0</x:v>
      </x:c>
      <x:c r="L4" s="46" t="b">
        <x:v>1</x:v>
      </x:c>
      <x:c r="M4" s="46" t="b">
        <x:v>1</x:v>
      </x:c>
      <x:c r="N4" s="105" t="str"/>
    </x:row>
    <x:row r="5">
      <x:c r="A5" s="44" t="str">
        <x:v>game_maze</x:v>
      </x:c>
      <x:c r="B5" s="45" t="n">
        <x:v>4</x:v>
      </x:c>
      <x:c r="C5" s="45" t="str">
        <x:v>game_maze_name</x:v>
      </x:c>
      <x:c r="D5" s="45" t="str">
        <x:v>var_maze</x:v>
      </x:c>
      <x:c r="E5" s="45" t="str">
        <x:v>unlock_game_4</x:v>
      </x:c>
      <x:c r="F5" s="45" t="str">
        <x:v>key_token</x:v>
      </x:c>
      <x:c r="G5" s="45" t="n">
        <x:v>4</x:v>
      </x:c>
      <x:c r="H5" s="45" t="str">
        <x:v>adaptive</x:v>
      </x:c>
      <x:c r="I5" s="45" t="str">
        <x:v>time</x:v>
      </x:c>
      <x:c r="J5" s="45" t="n">
        <x:v>25</x:v>
      </x:c>
      <x:c r="K5" s="46" t="b">
        <x:v>0</x:v>
      </x:c>
      <x:c r="L5" s="46" t="b">
        <x:v>1</x:v>
      </x:c>
      <x:c r="M5" s="46" t="b">
        <x:v>0</x:v>
      </x:c>
      <x:c r="N5" s="105" t="str">
        <x:v>Added later</x:v>
      </x:c>
    </x:row>
    <x:row r="6">
      <x:c r="A6" s="48" t="str">
        <x:v>game_trivia</x:v>
      </x:c>
      <x:c r="B6" s="49" t="n">
        <x:v>5</x:v>
      </x:c>
      <x:c r="C6" s="49" t="str">
        <x:v>game_trivia_name</x:v>
      </x:c>
      <x:c r="D6" s="49" t="str">
        <x:v>trivia</x:v>
      </x:c>
      <x:c r="E6" s="49" t="str">
        <x:v>unlock_game_5</x:v>
      </x:c>
      <x:c r="F6" s="49" t="str">
        <x:v>key_token</x:v>
      </x:c>
      <x:c r="G6" s="49" t="n">
        <x:v>5</x:v>
      </x:c>
      <x:c r="H6" s="49" t="str">
        <x:v>adaptive</x:v>
      </x:c>
      <x:c r="I6" s="49" t="str">
        <x:v>correct_answers</x:v>
      </x:c>
      <x:c r="J6" s="49" t="n">
        <x:v>25</x:v>
      </x:c>
      <x:c r="K6" s="50" t="b">
        <x:v>0</x:v>
      </x:c>
      <x:c r="L6" s="50" t="b">
        <x:v>1</x:v>
      </x:c>
      <x:c r="M6" s="50" t="b">
        <x:v>0</x:v>
      </x:c>
      <x:c r="N6" s="106" t="str">
        <x:v>Added later</x:v>
      </x:c>
    </x:row>
  </x:sheetData>
  <x:conditionalFormatting sqref="M2:M5000">
    <x:cfRule type="cellIs" dxfId="46" priority="1" operator="equal">
      <x:formula>FALSE</x:formula>
    </x:cfRule>
    <x:cfRule type="cellIs" dxfId="47" priority="2" operator="equal">
      <x:formula>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9c1e4e7bfed464d"/>
  </x:tableParts>
</x:worksheet>
</file>

<file path=xl/worksheets/sheet3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3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4" hidden="0" customWidth="1"/>
    <x:col min="10" max="10" width="24" hidden="0" customWidth="1"/>
    <x:col min="11" max="11" width="23" hidden="0" customWidth="1"/>
  </x:cols>
  <x:sheetData>
    <x:row r="1" ht="34" customHeight="1">
      <x:c r="A1" s="11" t="str">
        <x:v>attempt_id</x:v>
      </x:c>
      <x:c r="B1" s="12" t="str">
        <x:v>user_id</x:v>
      </x:c>
      <x:c r="C1" s="12" t="str">
        <x:v>game_id</x:v>
      </x:c>
      <x:c r="D1" s="12" t="str">
        <x:v>played_at</x:v>
      </x:c>
      <x:c r="E1" s="12" t="str">
        <x:v>score</x:v>
      </x:c>
      <x:c r="F1" s="12" t="str">
        <x:v>difficulty</x:v>
      </x:c>
      <x:c r="G1" s="12" t="str">
        <x:v>result</x:v>
      </x:c>
      <x:c r="H1" s="12" t="str">
        <x:v>personal_best</x:v>
      </x:c>
      <x:c r="I1" s="12" t="str">
        <x:v>achievement_ids</x:v>
      </x:c>
      <x:c r="J1" s="12" t="str">
        <x:v>key_rewarded</x:v>
      </x:c>
      <x:c r="K1" s="13" t="str">
        <x:v>updated_at</x:v>
      </x:c>
    </x:row>
    <x:row r="2">
      <x:c r="A2" s="113" t="str">
        <x:v>attempt_sample_001</x:v>
      </x:c>
      <x:c r="B2" s="114" t="str">
        <x:v>veoulla</x:v>
      </x:c>
      <x:c r="C2" s="114" t="str">
        <x:v>game_memory</x:v>
      </x:c>
      <x:c r="D2" s="114" t="str"/>
      <x:c r="E2" s="114" t="n">
        <x:v>0</x:v>
      </x:c>
      <x:c r="F2" s="114" t="n">
        <x:v>1</x:v>
      </x:c>
      <x:c r="G2" s="114" t="str">
        <x:v>not_played</x:v>
      </x:c>
      <x:c r="H2" s="118" t="b">
        <x:v>0</x:v>
      </x:c>
      <x:c r="I2" s="114" t="str"/>
      <x:c r="J2" s="114" t="str"/>
      <x:c r="K2" s="115" t="str"/>
    </x:row>
  </x:sheetData>
  <x:pageMargins left="0.7" right="0.7" top="0.75" bottom="0.75" header="0.3" footer="0.3"/>
  <x:tableParts count="1">
    <x:tablePart xmlns:r="http://schemas.openxmlformats.org/officeDocument/2006/relationships" r:id="R6c3bcaf322474844"/>
  </x:tableParts>
</x:worksheet>
</file>

<file path=xl/worksheets/sheet3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16" hidden="0" customWidth="1"/>
    <x:col min="5" max="5" width="24" hidden="0" customWidth="1"/>
    <x:col min="6" max="6" width="16" hidden="0" customWidth="1"/>
    <x:col min="7" max="7" width="34" hidden="0" customWidth="1"/>
    <x:col min="8" max="8" width="24" hidden="0" customWidth="1"/>
    <x:col min="9" max="9" width="32" hidden="0" customWidth="1"/>
    <x:col min="10" max="10" width="24" hidden="0" customWidth="1"/>
    <x:col min="11" max="11" width="16" hidden="0" customWidth="1"/>
    <x:col min="12" max="12" width="16" hidden="0" customWidth="1"/>
    <x:col min="13" max="13" width="34" hidden="0" customWidth="1"/>
  </x:cols>
  <x:sheetData>
    <x:row r="1" ht="34" customHeight="1">
      <x:c r="A1" s="11" t="str">
        <x:v>exhibit_id</x:v>
      </x:c>
      <x:c r="B1" s="12" t="str">
        <x:v>wing_id</x:v>
      </x:c>
      <x:c r="C1" s="12" t="str">
        <x:v>display_name_text_id</x:v>
      </x:c>
      <x:c r="D1" s="12" t="str">
        <x:v>exhibit_type</x:v>
      </x:c>
      <x:c r="E1" s="12" t="str">
        <x:v>source_content_id</x:v>
      </x:c>
      <x:c r="F1" s="12" t="str">
        <x:v>unlock_type</x:v>
      </x:c>
      <x:c r="G1" s="12" t="str">
        <x:v>unlock_rule_json</x:v>
      </x:c>
      <x:c r="H1" s="12" t="str">
        <x:v>position_id</x:v>
      </x:c>
      <x:c r="I1" s="12" t="str">
        <x:v>image_asset_ids</x:v>
      </x:c>
      <x:c r="J1" s="12" t="str">
        <x:v>audio_asset_id</x:v>
      </x:c>
      <x:c r="K1" s="12" t="str">
        <x:v>personal_only</x:v>
      </x:c>
      <x:c r="L1" s="12" t="str">
        <x:v>enabled</x:v>
      </x:c>
      <x:c r="M1" s="13" t="str">
        <x:v>notes</x:v>
      </x:c>
    </x:row>
    <x:row r="2">
      <x:c r="A2" s="40" t="str">
        <x:v>exhibit_old_site</x:v>
      </x:c>
      <x:c r="B2" s="41" t="str">
        <x:v>archive_wing</x:v>
      </x:c>
      <x:c r="C2" s="41" t="str">
        <x:v>exhibit_old_site_name</x:v>
      </x:c>
      <x:c r="D2" s="41" t="str">
        <x:v>archive_portal</x:v>
      </x:c>
      <x:c r="E2" s="41" t="str">
        <x:v>previous_birthday_site</x:v>
      </x:c>
      <x:c r="F2" s="41" t="str">
        <x:v>story_progress</x:v>
      </x:c>
      <x:c r="G2" s="41" t="str">
        <x:v>{"route":"first_journey"}</x:v>
      </x:c>
      <x:c r="H2" s="41" t="str">
        <x:v>archive_01</x:v>
      </x:c>
      <x:c r="I2" s="41" t="str"/>
      <x:c r="J2" s="41" t="str"/>
      <x:c r="K2" s="42" t="b">
        <x:v>1</x:v>
      </x:c>
      <x:c r="L2" s="42" t="b">
        <x:v>1</x:v>
      </x:c>
      <x:c r="M2" s="104" t="str">
        <x:v>Preserved independent archive</x:v>
      </x:c>
    </x:row>
    <x:row r="3">
      <x:c r="A3" s="44" t="str">
        <x:v>exhibit_comic_2025</x:v>
      </x:c>
      <x:c r="B3" s="45" t="str">
        <x:v>stories_wing</x:v>
      </x:c>
      <x:c r="C3" s="45" t="str">
        <x:v>exhibit_comic_name</x:v>
      </x:c>
      <x:c r="D3" s="45" t="str">
        <x:v>pdf_book</x:v>
      </x:c>
      <x:c r="E3" s="45" t="str">
        <x:v>comic_pdf_2025</x:v>
      </x:c>
      <x:c r="F3" s="45" t="str">
        <x:v>story_progress</x:v>
      </x:c>
      <x:c r="G3" s="45" t="str">
        <x:v>{}</x:v>
      </x:c>
      <x:c r="H3" s="45" t="str">
        <x:v>book_01</x:v>
      </x:c>
      <x:c r="I3" s="45" t="str">
        <x:v>comic_cover</x:v>
      </x:c>
      <x:c r="J3" s="45" t="str"/>
      <x:c r="K3" s="46" t="b">
        <x:v>1</x:v>
      </x:c>
      <x:c r="L3" s="46" t="b">
        <x:v>1</x:v>
      </x:c>
      <x:c r="M3" s="105" t="str">
        <x:v>Use existing PDF</x:v>
      </x:c>
    </x:row>
    <x:row r="4">
      <x:c r="A4" s="44" t="str">
        <x:v>exhibit_birthday_2026</x:v>
      </x:c>
      <x:c r="B4" s="45" t="str">
        <x:v>memories_wing</x:v>
      </x:c>
      <x:c r="C4" s="45" t="str">
        <x:v>exhibit_bday_name</x:v>
      </x:c>
      <x:c r="D4" s="45" t="str">
        <x:v>birthday_memory</x:v>
      </x:c>
      <x:c r="E4" s="45" t="str">
        <x:v>birthday_2026</x:v>
      </x:c>
      <x:c r="F4" s="45" t="str">
        <x:v>event_complete</x:v>
      </x:c>
      <x:c r="G4" s="45" t="str">
        <x:v>{"event_id":"birthday_2026"}</x:v>
      </x:c>
      <x:c r="H4" s="45" t="str">
        <x:v>memory_2026</x:v>
      </x:c>
      <x:c r="I4" s="45" t="str">
        <x:v>&lt;IMAGE_IDS&gt;</x:v>
      </x:c>
      <x:c r="J4" s="45" t="str">
        <x:v>&lt;AUDIO_ID&gt;</x:v>
      </x:c>
      <x:c r="K4" s="46" t="b">
        <x:v>1</x:v>
      </x:c>
      <x:c r="L4" s="46" t="b">
        <x:v>1</x:v>
      </x:c>
      <x:c r="M4" s="105" t="str">
        <x:v>Permanent after birthday</x:v>
      </x:c>
    </x:row>
    <x:row r="5">
      <x:c r="A5" s="48" t="str">
        <x:v>exhibit_secret_001</x:v>
      </x:c>
      <x:c r="B5" s="49" t="str">
        <x:v>secret_wing</x:v>
      </x:c>
      <x:c r="C5" s="49" t="str"/>
      <x:c r="D5" s="49" t="str">
        <x:v>empty_secret_slot</x:v>
      </x:c>
      <x:c r="E5" s="49" t="str"/>
      <x:c r="F5" s="49" t="str">
        <x:v>achievement</x:v>
      </x:c>
      <x:c r="G5" s="49" t="str">
        <x:v>{"achievement_id":"ach_secret_001"}</x:v>
      </x:c>
      <x:c r="H5" s="49" t="str">
        <x:v>secret_01</x:v>
      </x:c>
      <x:c r="I5" s="49" t="str"/>
      <x:c r="J5" s="49" t="str"/>
      <x:c r="K5" s="50" t="b">
        <x:v>1</x:v>
      </x:c>
      <x:c r="L5" s="50" t="b">
        <x:v>1</x:v>
      </x:c>
      <x:c r="M5" s="106" t="str">
        <x:v>Do not reveal title before unlock</x:v>
      </x:c>
    </x:row>
  </x:sheetData>
  <x:conditionalFormatting sqref="L2:L5000">
    <x:cfRule type="cellIs" dxfId="48" priority="1" operator="equal">
      <x:formula>FALSE</x:formula>
    </x:cfRule>
    <x:cfRule type="cellIs" dxfId="49" priority="2" operator="equal">
      <x:formula>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7aa5b195e1645a5"/>
  </x:tableParts>
</x:worksheet>
</file>

<file path=xl/worksheets/sheet3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16" hidden="0" customWidth="1"/>
    <x:col min="5" max="5" width="23" hidden="0" customWidth="1"/>
    <x:col min="6" max="6" width="16" hidden="0" customWidth="1"/>
    <x:col min="7" max="7" width="23" hidden="0" customWidth="1"/>
    <x:col min="8" max="8" width="16" hidden="0" customWidth="1"/>
    <x:col min="9" max="9" width="16" hidden="0" customWidth="1"/>
    <x:col min="10" max="10" width="23" hidden="0" customWidth="1"/>
  </x:cols>
  <x:sheetData>
    <x:row r="1" ht="34" customHeight="1">
      <x:c r="A1" s="11" t="str">
        <x:v>user_exhibit_key</x:v>
      </x:c>
      <x:c r="B1" s="12" t="str">
        <x:v>user_id</x:v>
      </x:c>
      <x:c r="C1" s="12" t="str">
        <x:v>exhibit_id</x:v>
      </x:c>
      <x:c r="D1" s="12" t="str">
        <x:v>unlock_status</x:v>
      </x:c>
      <x:c r="E1" s="12" t="str">
        <x:v>unlocked_at</x:v>
      </x:c>
      <x:c r="F1" s="12" t="str">
        <x:v>view_count</x:v>
      </x:c>
      <x:c r="G1" s="12" t="str">
        <x:v>last_viewed_at</x:v>
      </x:c>
      <x:c r="H1" s="12" t="str">
        <x:v>book_page</x:v>
      </x:c>
      <x:c r="I1" s="12" t="str">
        <x:v>completed</x:v>
      </x:c>
      <x:c r="J1" s="13" t="str">
        <x:v>updated_at</x:v>
      </x:c>
    </x:row>
    <x:row r="2">
      <x:c r="A2" s="113" t="str">
        <x:v>veoulla|exhibit_old_site</x:v>
      </x:c>
      <x:c r="B2" s="114" t="str">
        <x:v>veoulla</x:v>
      </x:c>
      <x:c r="C2" s="114" t="str">
        <x:v>exhibit_old_site</x:v>
      </x:c>
      <x:c r="D2" s="114" t="str">
        <x:v>locked</x:v>
      </x:c>
      <x:c r="E2" s="114" t="str"/>
      <x:c r="F2" s="114" t="n">
        <x:v>0</x:v>
      </x:c>
      <x:c r="G2" s="114" t="str"/>
      <x:c r="H2" s="114" t="n">
        <x:v>0</x:v>
      </x:c>
      <x:c r="I2" s="118" t="b">
        <x:v>0</x:v>
      </x:c>
      <x:c r="J2" s="115" t="str"/>
    </x:row>
  </x:sheetData>
  <x:pageMargins left="0.7" right="0.7" top="0.75" bottom="0.75" header="0.3" footer="0.3"/>
  <x:tableParts count="1">
    <x:tablePart xmlns:r="http://schemas.openxmlformats.org/officeDocument/2006/relationships" r:id="R2730af89cea24d5a"/>
  </x:tableParts>
</x:worksheet>
</file>

<file path=xl/worksheets/sheet3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4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34" hidden="0" customWidth="1"/>
  </x:cols>
  <x:sheetData>
    <x:row r="1" ht="34" customHeight="1">
      <x:c r="A1" s="11" t="str">
        <x:v>character_id</x:v>
      </x:c>
      <x:c r="B1" s="12" t="str">
        <x:v>system_name</x:v>
      </x:c>
      <x:c r="C1" s="12" t="str">
        <x:v>display_name_mode</x:v>
      </x:c>
      <x:c r="D1" s="12" t="str">
        <x:v>default_display_name</x:v>
      </x:c>
      <x:c r="E1" s="12" t="str">
        <x:v>species</x:v>
      </x:c>
      <x:c r="F1" s="12" t="str">
        <x:v>base_color</x:v>
      </x:c>
      <x:c r="G1" s="12" t="str">
        <x:v>eye_color</x:v>
      </x:c>
      <x:c r="H1" s="12" t="str">
        <x:v>gender_mode</x:v>
      </x:c>
      <x:c r="I1" s="12" t="str">
        <x:v>home_location_id</x:v>
      </x:c>
      <x:c r="J1" s="12" t="str">
        <x:v>ai_enabled</x:v>
      </x:c>
      <x:c r="K1" s="12" t="str">
        <x:v>dialogue_mode</x:v>
      </x:c>
      <x:c r="L1" s="12" t="str">
        <x:v>voice_enabled</x:v>
      </x:c>
      <x:c r="M1" s="12" t="str">
        <x:v>enabled</x:v>
      </x:c>
      <x:c r="N1" s="13" t="str">
        <x:v>notes</x:v>
      </x:c>
    </x:row>
    <x:row r="2">
      <x:c r="A2" s="40" t="str">
        <x:v>var</x:v>
      </x:c>
      <x:c r="B2" s="41" t="str">
        <x:v>VAR</x:v>
      </x:c>
      <x:c r="C2" s="41" t="str">
        <x:v>player_named</x:v>
      </x:c>
      <x:c r="D2" s="41" t="str"/>
      <x:c r="E2" s="41" t="str">
        <x:v>magical_cat</x:v>
      </x:c>
      <x:c r="F2" s="41" t="str">
        <x:v>white</x:v>
      </x:c>
      <x:c r="G2" s="41" t="str">
        <x:v>blue</x:v>
      </x:c>
      <x:c r="H2" s="41" t="str">
        <x:v>player_choice</x:v>
      </x:c>
      <x:c r="I2" s="41" t="str">
        <x:v>cottage</x:v>
      </x:c>
      <x:c r="J2" s="42" t="b">
        <x:v>1</x:v>
      </x:c>
      <x:c r="K2" s="41" t="str">
        <x:v>hybrid</x:v>
      </x:c>
      <x:c r="L2" s="42" t="b">
        <x:v>1</x:v>
      </x:c>
      <x:c r="M2" s="42" t="b">
        <x:v>1</x:v>
      </x:c>
      <x:c r="N2" s="104" t="str">
        <x:v>VAR is a secret identity; follows Veoulla</x:v>
      </x:c>
    </x:row>
    <x:row r="3">
      <x:c r="A3" s="48" t="str">
        <x:v>marcelino</x:v>
      </x:c>
      <x:c r="B3" s="49" t="str">
        <x:v>Marcelino</x:v>
      </x:c>
      <x:c r="C3" s="49" t="str">
        <x:v>fixed</x:v>
      </x:c>
      <x:c r="D3" s="49" t="str">
        <x:v>Marcelino</x:v>
      </x:c>
      <x:c r="E3" s="49" t="str">
        <x:v>chick</x:v>
      </x:c>
      <x:c r="F3" s="49" t="str">
        <x:v>yellow</x:v>
      </x:c>
      <x:c r="G3" s="49" t="str">
        <x:v>dark</x:v>
      </x:c>
      <x:c r="H3" s="49" t="str">
        <x:v>fixed_male</x:v>
      </x:c>
      <x:c r="I3" s="49" t="str">
        <x:v>cottage</x:v>
      </x:c>
      <x:c r="J3" s="50" t="b">
        <x:v>0</x:v>
      </x:c>
      <x:c r="K3" s="49" t="str">
        <x:v>authored_progressive</x:v>
      </x:c>
      <x:c r="L3" s="50" t="b">
        <x:v>0</x:v>
      </x:c>
      <x:c r="M3" s="50" t="b">
        <x:v>1</x:v>
      </x:c>
      <x:c r="N3" s="106" t="str">
        <x:v>Mail carrier; Cottage garden + Farm</x:v>
      </x:c>
    </x:row>
  </x:sheetData>
  <x:conditionalFormatting sqref="M2:M5000">
    <x:cfRule type="cellIs" dxfId="50" priority="1" operator="equal">
      <x:formula>FALSE</x:formula>
    </x:cfRule>
    <x:cfRule type="cellIs" dxfId="51" priority="2" operator="equal">
      <x:formula>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2fad30d14634761"/>
  </x:tableParts>
</x:worksheet>
</file>

<file path=xl/worksheets/sheet3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3" hidden="0" customWidth="1"/>
    <x:col min="10" max="10" width="16" hidden="0" customWidth="1"/>
    <x:col min="11" max="11" width="16" hidden="0" customWidth="1"/>
    <x:col min="12" max="12" width="16" hidden="0" customWidth="1"/>
    <x:col min="13" max="13" width="34" hidden="0" customWidth="1"/>
    <x:col min="14" max="14" width="23" hidden="0" customWidth="1"/>
  </x:cols>
  <x:sheetData>
    <x:row r="1" ht="34" customHeight="1">
      <x:c r="A1" s="11" t="str">
        <x:v>user_character_key</x:v>
      </x:c>
      <x:c r="B1" s="12" t="str">
        <x:v>user_id</x:v>
      </x:c>
      <x:c r="C1" s="12" t="str">
        <x:v>character_id</x:v>
      </x:c>
      <x:c r="D1" s="12" t="str">
        <x:v>personal_name</x:v>
      </x:c>
      <x:c r="E1" s="12" t="str">
        <x:v>selected_gender</x:v>
      </x:c>
      <x:c r="F1" s="12" t="str">
        <x:v>relationship_level</x:v>
      </x:c>
      <x:c r="G1" s="12" t="str">
        <x:v>current_location</x:v>
      </x:c>
      <x:c r="H1" s="12" t="str">
        <x:v>current_activity</x:v>
      </x:c>
      <x:c r="I1" s="12" t="str">
        <x:v>last_seen_at</x:v>
      </x:c>
      <x:c r="J1" s="12" t="str">
        <x:v>mood</x:v>
      </x:c>
      <x:c r="K1" s="12" t="str">
        <x:v>known_words_count</x:v>
      </x:c>
      <x:c r="L1" s="12" t="str">
        <x:v>deliveries_count</x:v>
      </x:c>
      <x:c r="M1" s="12" t="str">
        <x:v>story_flags_json</x:v>
      </x:c>
      <x:c r="N1" s="13" t="str">
        <x:v>updated_at</x:v>
      </x:c>
    </x:row>
    <x:row r="2">
      <x:c r="A2" s="40" t="str">
        <x:v>veoulla|var</x:v>
      </x:c>
      <x:c r="B2" s="41" t="str">
        <x:v>veoulla</x:v>
      </x:c>
      <x:c r="C2" s="41" t="str">
        <x:v>var</x:v>
      </x:c>
      <x:c r="D2" s="41" t="str"/>
      <x:c r="E2" s="41" t="str"/>
      <x:c r="F2" s="41" t="str">
        <x:v>new</x:v>
      </x:c>
      <x:c r="G2" s="41" t="str">
        <x:v>gate</x:v>
      </x:c>
      <x:c r="H2" s="41" t="str">
        <x:v>waiting</x:v>
      </x:c>
      <x:c r="I2" s="41" t="str"/>
      <x:c r="J2" s="41" t="str">
        <x:v>warm</x:v>
      </x:c>
      <x:c r="K2" s="41" t="n">
        <x:v>0</x:v>
      </x:c>
      <x:c r="L2" s="41" t="n">
        <x:v>0</x:v>
      </x:c>
      <x:c r="M2" s="41" t="str">
        <x:v>{"knows_veoulla":true,"secret_revealed":false}</x:v>
      </x:c>
      <x:c r="N2" s="104" t="str"/>
    </x:row>
    <x:row r="3">
      <x:c r="A3" s="48" t="str">
        <x:v>veoulla|marcelino</x:v>
      </x:c>
      <x:c r="B3" s="49" t="str">
        <x:v>veoulla</x:v>
      </x:c>
      <x:c r="C3" s="49" t="str">
        <x:v>marcelino</x:v>
      </x:c>
      <x:c r="D3" s="49" t="str">
        <x:v>Marcelino</x:v>
      </x:c>
      <x:c r="E3" s="49" t="str">
        <x:v>male</x:v>
      </x:c>
      <x:c r="F3" s="49" t="str">
        <x:v>new</x:v>
      </x:c>
      <x:c r="G3" s="49" t="str">
        <x:v>cottage</x:v>
      </x:c>
      <x:c r="H3" s="49" t="str">
        <x:v>mail_delivery</x:v>
      </x:c>
      <x:c r="I3" s="49" t="str"/>
      <x:c r="J3" s="49" t="str">
        <x:v>curious</x:v>
      </x:c>
      <x:c r="K3" s="49" t="n">
        <x:v>0</x:v>
      </x:c>
      <x:c r="L3" s="49" t="n">
        <x:v>0</x:v>
      </x:c>
      <x:c r="M3" s="49" t="str">
        <x:v>{"first_appearance_complete":false}</x:v>
      </x:c>
      <x:c r="N3" s="106" t="str"/>
    </x:row>
  </x:sheetData>
  <x:pageMargins left="0.7" right="0.7" top="0.75" bottom="0.75" header="0.3" footer="0.3"/>
  <x:tableParts count="1">
    <x:tablePart xmlns:r="http://schemas.openxmlformats.org/officeDocument/2006/relationships" r:id="R44158fc4916146fe"/>
  </x:tableParts>
</x:worksheet>
</file>

<file path=xl/worksheets/sheet3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34" hidden="0" customWidth="1"/>
  </x:cols>
  <x:sheetData>
    <x:row r="1" ht="34" customHeight="1">
      <x:c r="A1" s="11" t="str">
        <x:v>sheet_name</x:v>
      </x:c>
      <x:c r="B1" s="12" t="str">
        <x:v>purpose</x:v>
      </x:c>
      <x:c r="C1" s="12" t="str">
        <x:v>primary_key</x:v>
      </x:c>
      <x:c r="D1" s="12" t="str">
        <x:v>read_by</x:v>
      </x:c>
      <x:c r="E1" s="12" t="str">
        <x:v>write_by</x:v>
      </x:c>
      <x:c r="F1" s="12" t="str">
        <x:v>admin_editable</x:v>
      </x:c>
      <x:c r="G1" s="12" t="str">
        <x:v>sensitivity</x:v>
      </x:c>
      <x:c r="H1" s="13" t="str">
        <x:v>notes</x:v>
      </x:c>
    </x:row>
    <x:row r="2">
      <x:c r="A2" s="40" t="str">
        <x:v>00_README</x:v>
      </x:c>
      <x:c r="B2" s="41" t="str">
        <x:v>Workbook map, operating rules, health checks, and quick links</x:v>
      </x:c>
      <x:c r="C2" s="41" t="str">
        <x:v>n/a</x:v>
      </x:c>
      <x:c r="D2" s="41" t="str">
        <x:v>Admin / Claude</x:v>
      </x:c>
      <x:c r="E2" s="41" t="str">
        <x:v>Generated</x:v>
      </x:c>
      <x:c r="F2" s="42" t="b">
        <x:v>0</x:v>
      </x:c>
      <x:c r="G2" s="41" t="str">
        <x:v>Internal</x:v>
      </x:c>
      <x:c r="H2" s="104" t="str">
        <x:v>Start here</x:v>
      </x:c>
    </x:row>
    <x:row r="3">
      <x:c r="A3" s="44" t="str">
        <x:v>01_APP_CONFIG</x:v>
      </x:c>
      <x:c r="B3" s="45" t="str">
        <x:v>Global editable application settings and active versions.</x:v>
      </x:c>
      <x:c r="C3" s="45" t="str">
        <x:v>config_key</x:v>
      </x:c>
      <x:c r="D3" s="45" t="str">
        <x:v>React via backend</x:v>
      </x:c>
      <x:c r="E3" s="45" t="str">
        <x:v>Admin or backend</x:v>
      </x:c>
      <x:c r="F3" s="46" t="b">
        <x:v>1</x:v>
      </x:c>
      <x:c r="G3" s="45" t="str">
        <x:v>Internal</x:v>
      </x:c>
      <x:c r="H3" s="105" t="str">
        <x:v>Rows are examples/placeholders unless stated</x:v>
      </x:c>
    </x:row>
    <x:row r="4">
      <x:c r="A4" s="44" t="str">
        <x:v>02_USERS</x:v>
      </x:c>
      <x:c r="B4" s="45" t="str">
        <x:v>Prototype user identities, roles, and plaintext access fields.</x:v>
      </x:c>
      <x:c r="C4" s="45" t="str">
        <x:v>user_id</x:v>
      </x:c>
      <x:c r="D4" s="45" t="str">
        <x:v>React via backend</x:v>
      </x:c>
      <x:c r="E4" s="45" t="str">
        <x:v>Admin or backend</x:v>
      </x:c>
      <x:c r="F4" s="46" t="b">
        <x:v>1</x:v>
      </x:c>
      <x:c r="G4" s="45" t="str">
        <x:v>DEV_ONLY plaintext</x:v>
      </x:c>
      <x:c r="H4" s="105" t="str">
        <x:v>Rows are examples/placeholders unless stated</x:v>
      </x:c>
    </x:row>
    <x:row r="5">
      <x:c r="A5" s="44" t="str">
        <x:v>03_SECRETS_DEV</x:v>
      </x:c>
      <x:c r="B5" s="45" t="str">
        <x:v>Temporary plaintext Gemini, weather, and voice-provider credentials; backend access only.</x:v>
      </x:c>
      <x:c r="C5" s="45" t="str">
        <x:v>secret_id</x:v>
      </x:c>
      <x:c r="D5" s="45" t="str">
        <x:v>Backend only</x:v>
      </x:c>
      <x:c r="E5" s="45" t="str">
        <x:v>Admin or backend</x:v>
      </x:c>
      <x:c r="F5" s="46" t="b">
        <x:v>1</x:v>
      </x:c>
      <x:c r="G5" s="45" t="str">
        <x:v>DEV_ONLY plaintext</x:v>
      </x:c>
      <x:c r="H5" s="105" t="str">
        <x:v>Rows are examples/placeholders unless stated</x:v>
      </x:c>
    </x:row>
    <x:row r="6">
      <x:c r="A6" s="44" t="str">
        <x:v>04_ADMIN_FLAGS</x:v>
      </x:c>
      <x:c r="B6" s="45" t="str">
        <x:v>Live Admin switches and test overrides consumed without rebuilding React.</x:v>
      </x:c>
      <x:c r="C6" s="45" t="str">
        <x:v>flag_id</x:v>
      </x:c>
      <x:c r="D6" s="45" t="str">
        <x:v>React via backend</x:v>
      </x:c>
      <x:c r="E6" s="45" t="str">
        <x:v>Admin or backend</x:v>
      </x:c>
      <x:c r="F6" s="46" t="b">
        <x:v>1</x:v>
      </x:c>
      <x:c r="G6" s="45" t="str">
        <x:v>Internal</x:v>
      </x:c>
      <x:c r="H6" s="105" t="str">
        <x:v>Rows are examples/placeholders unless stated</x:v>
      </x:c>
    </x:row>
    <x:row r="7">
      <x:c r="A7" s="44" t="str">
        <x:v>05_ENTRY_LOGS</x:v>
      </x:c>
      <x:c r="B7" s="45" t="str">
        <x:v>Append-only entry, authentication, navigation, completion, and IP audit events.</x:v>
      </x:c>
      <x:c r="C7" s="45" t="str">
        <x:v>log_id</x:v>
      </x:c>
      <x:c r="D7" s="45" t="str">
        <x:v>React via backend</x:v>
      </x:c>
      <x:c r="E7" s="45" t="str">
        <x:v>Admin or backend</x:v>
      </x:c>
      <x:c r="F7" s="46" t="b">
        <x:v>1</x:v>
      </x:c>
      <x:c r="G7" s="45" t="str">
        <x:v>Internal</x:v>
      </x:c>
      <x:c r="H7" s="105" t="str">
        <x:v>Rows are examples/placeholders unless stated</x:v>
      </x:c>
    </x:row>
    <x:row r="8">
      <x:c r="A8" s="44" t="str">
        <x:v>06_SESSIONS</x:v>
      </x:c>
      <x:c r="B8" s="45" t="str">
        <x:v>Current and historical Veoulla/Admin sessions.</x:v>
      </x:c>
      <x:c r="C8" s="45" t="str">
        <x:v>session_id</x:v>
      </x:c>
      <x:c r="D8" s="45" t="str">
        <x:v>React via backend</x:v>
      </x:c>
      <x:c r="E8" s="45" t="str">
        <x:v>Admin or backend</x:v>
      </x:c>
      <x:c r="F8" s="46" t="b">
        <x:v>1</x:v>
      </x:c>
      <x:c r="G8" s="45" t="str">
        <x:v>Internal</x:v>
      </x:c>
      <x:c r="H8" s="105" t="str">
        <x:v>Rows are examples/placeholders unless stated</x:v>
      </x:c>
    </x:row>
    <x:row r="9">
      <x:c r="A9" s="44" t="str">
        <x:v>07_LANGUAGES</x:v>
      </x:c>
      <x:c r="B9" s="45" t="str">
        <x:v>Locale, direction, fallback, and voice metadata.</x:v>
      </x:c>
      <x:c r="C9" s="45" t="str">
        <x:v>locale_id</x:v>
      </x:c>
      <x:c r="D9" s="45" t="str">
        <x:v>React via backend</x:v>
      </x:c>
      <x:c r="E9" s="45" t="str">
        <x:v>Admin or backend</x:v>
      </x:c>
      <x:c r="F9" s="46" t="b">
        <x:v>1</x:v>
      </x:c>
      <x:c r="G9" s="45" t="str">
        <x:v>Internal</x:v>
      </x:c>
      <x:c r="H9" s="105" t="str">
        <x:v>Rows are examples/placeholders unless stated</x:v>
      </x:c>
    </x:row>
    <x:row r="10">
      <x:c r="A10" s="44" t="str">
        <x:v>08_UI_TEXT</x:v>
      </x:c>
      <x:c r="B10" s="45" t="str">
        <x:v>Normalized UI labels and accessibility text in five languages.</x:v>
      </x:c>
      <x:c r="C10" s="45" t="str">
        <x:v>ui_text_row_id</x:v>
      </x:c>
      <x:c r="D10" s="45" t="str">
        <x:v>React via backend</x:v>
      </x:c>
      <x:c r="E10" s="45" t="str">
        <x:v>Admin or backend</x:v>
      </x:c>
      <x:c r="F10" s="46" t="b">
        <x:v>1</x:v>
      </x:c>
      <x:c r="G10" s="45" t="str">
        <x:v>Internal</x:v>
      </x:c>
      <x:c r="H10" s="105" t="str">
        <x:v>Rows are examples/placeholders unless stated</x:v>
      </x:c>
    </x:row>
    <x:row r="11">
      <x:c r="A11" s="44" t="str">
        <x:v>09_ICONS</x:v>
      </x:c>
      <x:c r="B11" s="45" t="str">
        <x:v>All interface, location, key, language, and event icons referencing 10_ASSETS.</x:v>
      </x:c>
      <x:c r="C11" s="45" t="str">
        <x:v>icon_id</x:v>
      </x:c>
      <x:c r="D11" s="45" t="str">
        <x:v>React via backend</x:v>
      </x:c>
      <x:c r="E11" s="45" t="str">
        <x:v>Admin or backend</x:v>
      </x:c>
      <x:c r="F11" s="46" t="b">
        <x:v>1</x:v>
      </x:c>
      <x:c r="G11" s="45" t="str">
        <x:v>Internal</x:v>
      </x:c>
      <x:c r="H11" s="105" t="str">
        <x:v>Rows are examples/placeholders unless stated</x:v>
      </x:c>
    </x:row>
    <x:row r="12">
      <x:c r="A12" s="44" t="str">
        <x:v>10_ASSETS</x:v>
      </x:c>
      <x:c r="B12" s="45" t="str">
        <x:v>Central versioned Google Drive file IDs for every image, video, audio, poster, PDF, SVG, and animation.</x:v>
      </x:c>
      <x:c r="C12" s="45" t="str">
        <x:v>asset_id</x:v>
      </x:c>
      <x:c r="D12" s="45" t="str">
        <x:v>React via backend</x:v>
      </x:c>
      <x:c r="E12" s="45" t="str">
        <x:v>Admin or backend</x:v>
      </x:c>
      <x:c r="F12" s="46" t="b">
        <x:v>1</x:v>
      </x:c>
      <x:c r="G12" s="45" t="str">
        <x:v>Internal</x:v>
      </x:c>
      <x:c r="H12" s="105" t="str">
        <x:v>Rows are examples/placeholders unless stated</x:v>
      </x:c>
    </x:row>
    <x:row r="13">
      <x:c r="A13" s="44" t="str">
        <x:v>11_LOCATIONS</x:v>
      </x:c>
      <x:c r="B13" s="45" t="str">
        <x:v>Canonical island locations and route/map metadata.</x:v>
      </x:c>
      <x:c r="C13" s="45" t="str">
        <x:v>location_id</x:v>
      </x:c>
      <x:c r="D13" s="45" t="str">
        <x:v>React via backend</x:v>
      </x:c>
      <x:c r="E13" s="45" t="str">
        <x:v>Admin or backend</x:v>
      </x:c>
      <x:c r="F13" s="46" t="b">
        <x:v>1</x:v>
      </x:c>
      <x:c r="G13" s="45" t="str">
        <x:v>Internal</x:v>
      </x:c>
      <x:c r="H13" s="105" t="str">
        <x:v>Rows are examples/placeholders unless stated</x:v>
      </x:c>
    </x:row>
    <x:row r="14">
      <x:c r="A14" s="44" t="str">
        <x:v>12_SCENES</x:v>
      </x:c>
      <x:c r="B14" s="45" t="str">
        <x:v>Scene packages, camera/movement profiles, transitions, and ambience.</x:v>
      </x:c>
      <x:c r="C14" s="45" t="str">
        <x:v>scene_id</x:v>
      </x:c>
      <x:c r="D14" s="45" t="str">
        <x:v>React via backend</x:v>
      </x:c>
      <x:c r="E14" s="45" t="str">
        <x:v>Admin or backend</x:v>
      </x:c>
      <x:c r="F14" s="46" t="b">
        <x:v>1</x:v>
      </x:c>
      <x:c r="G14" s="45" t="str">
        <x:v>Internal</x:v>
      </x:c>
      <x:c r="H14" s="105" t="str">
        <x:v>Rows are examples/placeholders unless stated</x:v>
      </x:c>
    </x:row>
    <x:row r="15">
      <x:c r="A15" s="44" t="str">
        <x:v>13_ROUTES</x:v>
      </x:c>
      <x:c r="B15" s="45" t="str">
        <x:v>Story and event route definitions.</x:v>
      </x:c>
      <x:c r="C15" s="45" t="str">
        <x:v>route_id</x:v>
      </x:c>
      <x:c r="D15" s="45" t="str">
        <x:v>React via backend</x:v>
      </x:c>
      <x:c r="E15" s="45" t="str">
        <x:v>Admin or backend</x:v>
      </x:c>
      <x:c r="F15" s="46" t="b">
        <x:v>1</x:v>
      </x:c>
      <x:c r="G15" s="45" t="str">
        <x:v>Internal</x:v>
      </x:c>
      <x:c r="H15" s="105" t="str">
        <x:v>Rows are examples/placeholders unless stated</x:v>
      </x:c>
    </x:row>
    <x:row r="16">
      <x:c r="A16" s="44" t="str">
        <x:v>14_STORY_BEATS</x:v>
      </x:c>
      <x:c r="B16" s="45" t="str">
        <x:v>Ordered, checkpointed story beats controlled entirely by Sheet data.</x:v>
      </x:c>
      <x:c r="C16" s="45" t="str">
        <x:v>beat_id</x:v>
      </x:c>
      <x:c r="D16" s="45" t="str">
        <x:v>React via backend</x:v>
      </x:c>
      <x:c r="E16" s="45" t="str">
        <x:v>Admin or backend</x:v>
      </x:c>
      <x:c r="F16" s="46" t="b">
        <x:v>1</x:v>
      </x:c>
      <x:c r="G16" s="45" t="str">
        <x:v>Internal</x:v>
      </x:c>
      <x:c r="H16" s="105" t="str">
        <x:v>Rows are examples/placeholders unless stated</x:v>
      </x:c>
    </x:row>
    <x:row r="17">
      <x:c r="A17" s="44" t="str">
        <x:v>15_DIALOGUE</x:v>
      </x:c>
      <x:c r="B17" s="45" t="str">
        <x:v>Localized character dialogue and response behavior.</x:v>
      </x:c>
      <x:c r="C17" s="45" t="str">
        <x:v>dialogue_row_id</x:v>
      </x:c>
      <x:c r="D17" s="45" t="str">
        <x:v>React via backend</x:v>
      </x:c>
      <x:c r="E17" s="45" t="str">
        <x:v>Admin or backend</x:v>
      </x:c>
      <x:c r="F17" s="46" t="b">
        <x:v>1</x:v>
      </x:c>
      <x:c r="G17" s="45" t="str">
        <x:v>Internal</x:v>
      </x:c>
      <x:c r="H17" s="105" t="str">
        <x:v>Rows are examples/placeholders unless stated</x:v>
      </x:c>
    </x:row>
    <x:row r="18">
      <x:c r="A18" s="44" t="str">
        <x:v>16_VOICEOVER</x:v>
      </x:c>
      <x:c r="B18" s="45" t="str">
        <x:v>Five-language audio asset IDs, captions, direction, voice, and timing.</x:v>
      </x:c>
      <x:c r="C18" s="45" t="str">
        <x:v>voiceover_id</x:v>
      </x:c>
      <x:c r="D18" s="45" t="str">
        <x:v>React via backend</x:v>
      </x:c>
      <x:c r="E18" s="45" t="str">
        <x:v>Admin or backend</x:v>
      </x:c>
      <x:c r="F18" s="46" t="b">
        <x:v>1</x:v>
      </x:c>
      <x:c r="G18" s="45" t="str">
        <x:v>Internal</x:v>
      </x:c>
      <x:c r="H18" s="105" t="str">
        <x:v>Rows are examples/placeholders unless stated</x:v>
      </x:c>
    </x:row>
    <x:row r="19">
      <x:c r="A19" s="44" t="str">
        <x:v>17_EVENTS</x:v>
      </x:c>
      <x:c r="B19" s="45" t="str">
        <x:v>Scheduled world events and one-time story routes.</x:v>
      </x:c>
      <x:c r="C19" s="45" t="str">
        <x:v>event_id</x:v>
      </x:c>
      <x:c r="D19" s="45" t="str">
        <x:v>React via backend</x:v>
      </x:c>
      <x:c r="E19" s="45" t="str">
        <x:v>Admin or backend</x:v>
      </x:c>
      <x:c r="F19" s="46" t="b">
        <x:v>1</x:v>
      </x:c>
      <x:c r="G19" s="45" t="str">
        <x:v>Internal</x:v>
      </x:c>
      <x:c r="H19" s="105" t="str">
        <x:v>Rows are examples/placeholders unless stated</x:v>
      </x:c>
    </x:row>
    <x:row r="20">
      <x:c r="A20" s="44" t="str">
        <x:v>18_EVENT_PHASES</x:v>
      </x:c>
      <x:c r="B20" s="45" t="str">
        <x:v>Time-offset phases controlling birthday visuals, content, and behavior.</x:v>
      </x:c>
      <x:c r="C20" s="45" t="str">
        <x:v>phase_id</x:v>
      </x:c>
      <x:c r="D20" s="45" t="str">
        <x:v>React via backend</x:v>
      </x:c>
      <x:c r="E20" s="45" t="str">
        <x:v>Admin or backend</x:v>
      </x:c>
      <x:c r="F20" s="46" t="b">
        <x:v>1</x:v>
      </x:c>
      <x:c r="G20" s="45" t="str">
        <x:v>Internal</x:v>
      </x:c>
      <x:c r="H20" s="105" t="str">
        <x:v>Rows are examples/placeholders unless stated</x:v>
      </x:c>
    </x:row>
    <x:row r="21">
      <x:c r="A21" s="44" t="str">
        <x:v>19_MESSAGES</x:v>
      </x:c>
      <x:c r="B21" s="45" t="str">
        <x:v>Scheduled multilingual messages, gifts, images, and voice notes.</x:v>
      </x:c>
      <x:c r="C21" s="45" t="str">
        <x:v>message_row_id</x:v>
      </x:c>
      <x:c r="D21" s="45" t="str">
        <x:v>React via backend</x:v>
      </x:c>
      <x:c r="E21" s="45" t="str">
        <x:v>Admin or backend</x:v>
      </x:c>
      <x:c r="F21" s="46" t="b">
        <x:v>1</x:v>
      </x:c>
      <x:c r="G21" s="45" t="str">
        <x:v>Internal</x:v>
      </x:c>
      <x:c r="H21" s="105" t="str">
        <x:v>Rows are examples/placeholders unless stated</x:v>
      </x:c>
    </x:row>
    <x:row r="22">
      <x:c r="A22" s="44" t="str">
        <x:v>20_SONGS</x:v>
      </x:c>
      <x:c r="B22" s="45" t="str">
        <x:v>Vinyl Café and Walkman catalog referencing Drive-backed audio assets.</x:v>
      </x:c>
      <x:c r="C22" s="45" t="str">
        <x:v>song_id</x:v>
      </x:c>
      <x:c r="D22" s="45" t="str">
        <x:v>React via backend</x:v>
      </x:c>
      <x:c r="E22" s="45" t="str">
        <x:v>Admin or backend</x:v>
      </x:c>
      <x:c r="F22" s="46" t="b">
        <x:v>1</x:v>
      </x:c>
      <x:c r="G22" s="45" t="str">
        <x:v>Internal</x:v>
      </x:c>
      <x:c r="H22" s="105" t="str">
        <x:v>Rows are examples/placeholders unless stated</x:v>
      </x:c>
    </x:row>
    <x:row r="23">
      <x:c r="A23" s="44" t="str">
        <x:v>21_KEYS</x:v>
      </x:c>
      <x:c r="B23" s="45" t="str">
        <x:v>Canonical key types, shapes, daily caps, and locations.</x:v>
      </x:c>
      <x:c r="C23" s="45" t="str">
        <x:v>key_type_id</x:v>
      </x:c>
      <x:c r="D23" s="45" t="str">
        <x:v>React via backend</x:v>
      </x:c>
      <x:c r="E23" s="45" t="str">
        <x:v>Admin or backend</x:v>
      </x:c>
      <x:c r="F23" s="46" t="b">
        <x:v>1</x:v>
      </x:c>
      <x:c r="G23" s="45" t="str">
        <x:v>Internal</x:v>
      </x:c>
      <x:c r="H23" s="105" t="str">
        <x:v>Rows are examples/placeholders unless stated</x:v>
      </x:c>
    </x:row>
    <x:row r="24">
      <x:c r="A24" s="44" t="str">
        <x:v>22_KEY_RULES</x:v>
      </x:c>
      <x:c r="B24" s="45" t="str">
        <x:v>Date, story, interaction, and reward rules for every key award.</x:v>
      </x:c>
      <x:c r="C24" s="45" t="str">
        <x:v>rule_id</x:v>
      </x:c>
      <x:c r="D24" s="45" t="str">
        <x:v>React via backend</x:v>
      </x:c>
      <x:c r="E24" s="45" t="str">
        <x:v>Admin or backend</x:v>
      </x:c>
      <x:c r="F24" s="46" t="b">
        <x:v>1</x:v>
      </x:c>
      <x:c r="G24" s="45" t="str">
        <x:v>Internal</x:v>
      </x:c>
      <x:c r="H24" s="105" t="str">
        <x:v>Rows are examples/placeholders unless stated</x:v>
      </x:c>
    </x:row>
    <x:row r="25">
      <x:c r="A25" s="44" t="str">
        <x:v>23_ACHIEVEMENTS</x:v>
      </x:c>
      <x:c r="B25" s="45" t="str">
        <x:v>Visible/secret achievements, triggers, and rewards.</x:v>
      </x:c>
      <x:c r="C25" s="45" t="str">
        <x:v>achievement_id</x:v>
      </x:c>
      <x:c r="D25" s="45" t="str">
        <x:v>React via backend</x:v>
      </x:c>
      <x:c r="E25" s="45" t="str">
        <x:v>Admin or backend</x:v>
      </x:c>
      <x:c r="F25" s="46" t="b">
        <x:v>1</x:v>
      </x:c>
      <x:c r="G25" s="45" t="str">
        <x:v>Internal</x:v>
      </x:c>
      <x:c r="H25" s="105" t="str">
        <x:v>Rows are examples/placeholders unless stated</x:v>
      </x:c>
    </x:row>
    <x:row r="26">
      <x:c r="A26" s="44" t="str">
        <x:v>24_PLAYER_PROGRESS</x:v>
      </x:c>
      <x:c r="B26" s="45" t="str">
        <x:v>Sheet-authoritative story checkpoints, completion, Map state, and current location.</x:v>
      </x:c>
      <x:c r="C26" s="45" t="str">
        <x:v>user_route_key</x:v>
      </x:c>
      <x:c r="D26" s="45" t="str">
        <x:v>React via backend</x:v>
      </x:c>
      <x:c r="E26" s="45" t="str">
        <x:v>Admin or backend</x:v>
      </x:c>
      <x:c r="F26" s="46" t="b">
        <x:v>1</x:v>
      </x:c>
      <x:c r="G26" s="45" t="str">
        <x:v>Internal</x:v>
      </x:c>
      <x:c r="H26" s="105" t="str">
        <x:v>Rows are examples/placeholders unless stated</x:v>
      </x:c>
    </x:row>
    <x:row r="27">
      <x:c r="A27" s="44" t="str">
        <x:v>25_PLAYER_KEYS</x:v>
      </x:c>
      <x:c r="B27" s="45" t="str">
        <x:v>Sheet-authoritative found, spent, and available key inventory.</x:v>
      </x:c>
      <x:c r="C27" s="45" t="str">
        <x:v>user_key_type</x:v>
      </x:c>
      <x:c r="D27" s="45" t="str">
        <x:v>React via backend</x:v>
      </x:c>
      <x:c r="E27" s="45" t="str">
        <x:v>Admin or backend</x:v>
      </x:c>
      <x:c r="F27" s="46" t="b">
        <x:v>1</x:v>
      </x:c>
      <x:c r="G27" s="45" t="str">
        <x:v>Internal</x:v>
      </x:c>
      <x:c r="H27" s="105" t="str">
        <x:v>Rows are examples/placeholders unless stated</x:v>
      </x:c>
    </x:row>
    <x:row r="28">
      <x:c r="A28" s="44" t="str">
        <x:v>26_PLAYER_ACHIEV</x:v>
      </x:c>
      <x:c r="B28" s="45" t="str">
        <x:v>Per-user achievement progress, unlock, claim, and reward state.</x:v>
      </x:c>
      <x:c r="C28" s="45" t="str">
        <x:v>user_achievement_key</x:v>
      </x:c>
      <x:c r="D28" s="45" t="str">
        <x:v>React via backend</x:v>
      </x:c>
      <x:c r="E28" s="45" t="str">
        <x:v>Admin or backend</x:v>
      </x:c>
      <x:c r="F28" s="46" t="b">
        <x:v>1</x:v>
      </x:c>
      <x:c r="G28" s="45" t="str">
        <x:v>Internal</x:v>
      </x:c>
      <x:c r="H28" s="105" t="str">
        <x:v>Rows are examples/placeholders unless stated</x:v>
      </x:c>
    </x:row>
    <x:row r="29">
      <x:c r="A29" s="44" t="str">
        <x:v>27_PLAYER_MESSAGES</x:v>
      </x:c>
      <x:c r="B29" s="45" t="str">
        <x:v>Delivery, read, archive, translation, voice, and gift status per message.</x:v>
      </x:c>
      <x:c r="C29" s="45" t="str">
        <x:v>user_message_key</x:v>
      </x:c>
      <x:c r="D29" s="45" t="str">
        <x:v>React via backend</x:v>
      </x:c>
      <x:c r="E29" s="45" t="str">
        <x:v>Admin or backend</x:v>
      </x:c>
      <x:c r="F29" s="46" t="b">
        <x:v>1</x:v>
      </x:c>
      <x:c r="G29" s="45" t="str">
        <x:v>Internal</x:v>
      </x:c>
      <x:c r="H29" s="105" t="str">
        <x:v>Rows are examples/placeholders unless stated</x:v>
      </x:c>
    </x:row>
    <x:row r="30">
      <x:c r="A30" s="44" t="str">
        <x:v>28_FARM_CROPS</x:v>
      </x:c>
      <x:c r="B30" s="45" t="str">
        <x:v>Sheet-driven crop durations, watering, wilt, rain, yield, and rarity.</x:v>
      </x:c>
      <x:c r="C30" s="45" t="str">
        <x:v>crop_id</x:v>
      </x:c>
      <x:c r="D30" s="45" t="str">
        <x:v>React via backend</x:v>
      </x:c>
      <x:c r="E30" s="45" t="str">
        <x:v>Admin or backend</x:v>
      </x:c>
      <x:c r="F30" s="46" t="b">
        <x:v>1</x:v>
      </x:c>
      <x:c r="G30" s="45" t="str">
        <x:v>Internal</x:v>
      </x:c>
      <x:c r="H30" s="105" t="str">
        <x:v>Rows are examples/placeholders unless stated</x:v>
      </x:c>
    </x:row>
    <x:row r="31">
      <x:c r="A31" s="44" t="str">
        <x:v>29_PLAYER_FARM</x:v>
      </x:c>
      <x:c r="B31" s="45" t="str">
        <x:v>Per-plot planting, watering, ready, wilt, and harvest state.</x:v>
      </x:c>
      <x:c r="C31" s="45" t="str">
        <x:v>user_plot_key</x:v>
      </x:c>
      <x:c r="D31" s="45" t="str">
        <x:v>React via backend</x:v>
      </x:c>
      <x:c r="E31" s="45" t="str">
        <x:v>Admin or backend</x:v>
      </x:c>
      <x:c r="F31" s="46" t="b">
        <x:v>1</x:v>
      </x:c>
      <x:c r="G31" s="45" t="str">
        <x:v>Internal</x:v>
      </x:c>
      <x:c r="H31" s="105" t="str">
        <x:v>Rows are examples/placeholders unless stated</x:v>
      </x:c>
    </x:row>
    <x:row r="32">
      <x:c r="A32" s="44" t="str">
        <x:v>30_CHURCH_CONTENT</x:v>
      </x:c>
      <x:c r="B32" s="45" t="str">
        <x:v>Reviewed dated verses, stories, images, narration, and sources.</x:v>
      </x:c>
      <x:c r="C32" s="45" t="str">
        <x:v>content_row_id</x:v>
      </x:c>
      <x:c r="D32" s="45" t="str">
        <x:v>React via backend</x:v>
      </x:c>
      <x:c r="E32" s="45" t="str">
        <x:v>Admin or backend</x:v>
      </x:c>
      <x:c r="F32" s="46" t="b">
        <x:v>1</x:v>
      </x:c>
      <x:c r="G32" s="45" t="str">
        <x:v>Internal</x:v>
      </x:c>
      <x:c r="H32" s="105" t="str">
        <x:v>Rows are examples/placeholders unless stated</x:v>
      </x:c>
    </x:row>
    <x:row r="33">
      <x:c r="A33" s="44" t="str">
        <x:v>31_CHURCH_QUIZ</x:v>
      </x:c>
      <x:c r="B33" s="45" t="str">
        <x:v>Reviewed multiple-choice and true/false Bible quiz bank.</x:v>
      </x:c>
      <x:c r="C33" s="45" t="str">
        <x:v>question_row_id</x:v>
      </x:c>
      <x:c r="D33" s="45" t="str">
        <x:v>React via backend</x:v>
      </x:c>
      <x:c r="E33" s="45" t="str">
        <x:v>Admin or backend</x:v>
      </x:c>
      <x:c r="F33" s="46" t="b">
        <x:v>1</x:v>
      </x:c>
      <x:c r="G33" s="45" t="str">
        <x:v>Internal</x:v>
      </x:c>
      <x:c r="H33" s="105" t="str">
        <x:v>Rows are examples/placeholders unless stated</x:v>
      </x:c>
    </x:row>
    <x:row r="34">
      <x:c r="A34" s="44" t="str">
        <x:v>32_ARCADE_GAMES</x:v>
      </x:c>
      <x:c r="B34" s="45" t="str">
        <x:v>Cabinets, game family, unlock, adaptive difficulty, scoring, and audio rules.</x:v>
      </x:c>
      <x:c r="C34" s="45" t="str">
        <x:v>game_id</x:v>
      </x:c>
      <x:c r="D34" s="45" t="str">
        <x:v>React via backend</x:v>
      </x:c>
      <x:c r="E34" s="45" t="str">
        <x:v>Admin or backend</x:v>
      </x:c>
      <x:c r="F34" s="46" t="b">
        <x:v>1</x:v>
      </x:c>
      <x:c r="G34" s="45" t="str">
        <x:v>Internal</x:v>
      </x:c>
      <x:c r="H34" s="105" t="str">
        <x:v>Rows are examples/placeholders unless stated</x:v>
      </x:c>
    </x:row>
    <x:row r="35">
      <x:c r="A35" s="44" t="str">
        <x:v>33_PLAYER_SCORES</x:v>
      </x:c>
      <x:c r="B35" s="45" t="str">
        <x:v>Arcade attempts, adaptive difficulty, personal bests, and rewards.</x:v>
      </x:c>
      <x:c r="C35" s="45" t="str">
        <x:v>attempt_id</x:v>
      </x:c>
      <x:c r="D35" s="45" t="str">
        <x:v>React via backend</x:v>
      </x:c>
      <x:c r="E35" s="45" t="str">
        <x:v>Admin or backend</x:v>
      </x:c>
      <x:c r="F35" s="46" t="b">
        <x:v>1</x:v>
      </x:c>
      <x:c r="G35" s="45" t="str">
        <x:v>Internal</x:v>
      </x:c>
      <x:c r="H35" s="105" t="str">
        <x:v>Rows are examples/placeholders unless stated</x:v>
      </x:c>
    </x:row>
    <x:row r="36">
      <x:c r="A36" s="44" t="str">
        <x:v>34_MUSEUM_EXHIBITS</x:v>
      </x:c>
      <x:c r="B36" s="45" t="str">
        <x:v>Everkeep exhibits, wings, sources, unlocks, media, and personal access.</x:v>
      </x:c>
      <x:c r="C36" s="45" t="str">
        <x:v>exhibit_id</x:v>
      </x:c>
      <x:c r="D36" s="45" t="str">
        <x:v>React via backend</x:v>
      </x:c>
      <x:c r="E36" s="45" t="str">
        <x:v>Admin or backend</x:v>
      </x:c>
      <x:c r="F36" s="46" t="b">
        <x:v>1</x:v>
      </x:c>
      <x:c r="G36" s="45" t="str">
        <x:v>Internal</x:v>
      </x:c>
      <x:c r="H36" s="105" t="str">
        <x:v>Rows are examples/placeholders unless stated</x:v>
      </x:c>
    </x:row>
    <x:row r="37">
      <x:c r="A37" s="44" t="str">
        <x:v>35_PLAYER_EXHIBITS</x:v>
      </x:c>
      <x:c r="B37" s="45" t="str">
        <x:v>Per-user exhibit unlock, view, book progress, and completion.</x:v>
      </x:c>
      <x:c r="C37" s="45" t="str">
        <x:v>user_exhibit_key</x:v>
      </x:c>
      <x:c r="D37" s="45" t="str">
        <x:v>React via backend</x:v>
      </x:c>
      <x:c r="E37" s="45" t="str">
        <x:v>Admin or backend</x:v>
      </x:c>
      <x:c r="F37" s="46" t="b">
        <x:v>1</x:v>
      </x:c>
      <x:c r="G37" s="45" t="str">
        <x:v>Internal</x:v>
      </x:c>
      <x:c r="H37" s="105" t="str">
        <x:v>Rows are examples/placeholders unless stated</x:v>
      </x:c>
    </x:row>
    <x:row r="38">
      <x:c r="A38" s="44" t="str">
        <x:v>36_CHARACTERS</x:v>
      </x:c>
      <x:c r="B38" s="45" t="str">
        <x:v>Canonical VAR and Marcelino identity, behavior, dialogue, and home settings.</x:v>
      </x:c>
      <x:c r="C38" s="45" t="str">
        <x:v>character_id</x:v>
      </x:c>
      <x:c r="D38" s="45" t="str">
        <x:v>React via backend</x:v>
      </x:c>
      <x:c r="E38" s="45" t="str">
        <x:v>Admin or backend</x:v>
      </x:c>
      <x:c r="F38" s="46" t="b">
        <x:v>1</x:v>
      </x:c>
      <x:c r="G38" s="45" t="str">
        <x:v>Internal</x:v>
      </x:c>
      <x:c r="H38" s="105" t="str">
        <x:v>Rows are examples/placeholders unless stated</x:v>
      </x:c>
    </x:row>
    <x:row r="39">
      <x:c r="A39" s="44" t="str">
        <x:v>37_CHARACTER_STATE</x:v>
      </x:c>
      <x:c r="B39" s="45" t="str">
        <x:v>Per-user character names, gender, mood, location, learning, and story flags.</x:v>
      </x:c>
      <x:c r="C39" s="45" t="str">
        <x:v>user_character_key</x:v>
      </x:c>
      <x:c r="D39" s="45" t="str">
        <x:v>React via backend</x:v>
      </x:c>
      <x:c r="E39" s="45" t="str">
        <x:v>Admin or backend</x:v>
      </x:c>
      <x:c r="F39" s="46" t="b">
        <x:v>1</x:v>
      </x:c>
      <x:c r="G39" s="45" t="str">
        <x:v>Internal</x:v>
      </x:c>
      <x:c r="H39" s="105" t="str">
        <x:v>Rows are examples/placeholders unless stated</x:v>
      </x:c>
    </x:row>
    <x:row r="40">
      <x:c r="A40" s="44" t="str">
        <x:v>39_VALIDATION_LISTS</x:v>
      </x:c>
      <x:c r="B40" s="45" t="str">
        <x:v>Central values used for validation and Admin consistency.</x:v>
      </x:c>
      <x:c r="C40" s="45" t="str">
        <x:v>list_value_key</x:v>
      </x:c>
      <x:c r="D40" s="45" t="str">
        <x:v>React via backend</x:v>
      </x:c>
      <x:c r="E40" s="45" t="str">
        <x:v>Admin or backend</x:v>
      </x:c>
      <x:c r="F40" s="46" t="b">
        <x:v>1</x:v>
      </x:c>
      <x:c r="G40" s="45" t="str">
        <x:v>Internal</x:v>
      </x:c>
      <x:c r="H40" s="105" t="str">
        <x:v>Rows are examples/placeholders unless stated</x:v>
      </x:c>
    </x:row>
    <x:row r="41">
      <x:c r="A41" s="48" t="str">
        <x:v>38_DATA_DICTIONARY</x:v>
      </x:c>
      <x:c r="B41" s="49" t="str">
        <x:v>Definition and ownership of every tab</x:v>
      </x:c>
      <x:c r="C41" s="49" t="str">
        <x:v>sheet_name</x:v>
      </x:c>
      <x:c r="D41" s="49" t="str">
        <x:v>Admin / Claude</x:v>
      </x:c>
      <x:c r="E41" s="49" t="str">
        <x:v>Admin</x:v>
      </x:c>
      <x:c r="F41" s="50" t="b">
        <x:v>1</x:v>
      </x:c>
      <x:c r="G41" s="49" t="str">
        <x:v>Internal</x:v>
      </x:c>
      <x:c r="H41" s="106" t="str">
        <x:v>Keep synchronized when adding tabs</x:v>
      </x:c>
    </x:row>
    <x:row r="42">
      <x:c r="A42" t="str">
        <x:v>40_VAR_CONVERSATIONS</x:v>
      </x:c>
      <x:c r="B42" t="str">
        <x:v>Append-only full VAR chat archive and Gemini interaction-chain metadata.</x:v>
      </x:c>
      <x:c r="C42" t="str">
        <x:v>turn_id</x:v>
      </x:c>
      <x:c r="D42" t="str">
        <x:v>Backend/Admin</x:v>
      </x:c>
      <x:c r="E42" t="str">
        <x:v>Backend</x:v>
      </x:c>
      <x:c r="F42" s="1" t="b">
        <x:v>0</x:v>
      </x:c>
      <x:c r="G42" t="str">
        <x:v>Private personal</x:v>
      </x:c>
      <x:c r="H42" t="str">
        <x:v>Keep every user/VAR turn; do not use as canonical world state</x:v>
      </x:c>
    </x:row>
    <x:row r="43">
      <x:c r="A43" t="str">
        <x:v>41_VAR_MEMORIES</x:v>
      </x:c>
      <x:c r="B43" t="str">
        <x:v>Durable cross-session memories extracted from approved VAR conversations.</x:v>
      </x:c>
      <x:c r="C43" t="str">
        <x:v>memory_id</x:v>
      </x:c>
      <x:c r="D43" t="str">
        <x:v>Backend/Admin</x:v>
      </x:c>
      <x:c r="E43" t="str">
        <x:v>Backend/Admin</x:v>
      </x:c>
      <x:c r="F43" s="1" t="b">
        <x:v>1</x:v>
      </x:c>
      <x:c r="G43" t="str">
        <x:v>Private personal</x:v>
      </x:c>
      <x:c r="H43" t="str">
        <x:v>Used to reconstruct VAR context across sessions and model changes</x:v>
      </x:c>
    </x:row>
  </x:sheetData>
  <x:pageMargins left="0.7" right="0.7" top="0.75" bottom="0.75" header="0.3" footer="0.3"/>
  <x:tableParts count="1">
    <x:tablePart xmlns:r="http://schemas.openxmlformats.org/officeDocument/2006/relationships" r:id="R111cf0fdb7204b05"/>
  </x:tableParts>
</x:worksheet>
</file>

<file path=xl/worksheets/sheet4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34" hidden="0" customWidth="1"/>
  </x:cols>
  <x:sheetData>
    <x:row r="1" ht="34" customHeight="1">
      <x:c r="A1" s="11" t="str">
        <x:v>list_name</x:v>
      </x:c>
      <x:c r="B1" s="12" t="str">
        <x:v>value</x:v>
      </x:c>
      <x:c r="C1" s="12" t="str">
        <x:v>sort_order</x:v>
      </x:c>
      <x:c r="D1" s="12" t="str">
        <x:v>enabled</x:v>
      </x:c>
      <x:c r="E1" s="13" t="str">
        <x:v>notes</x:v>
      </x:c>
    </x:row>
    <x:row r="2">
      <x:c r="A2" s="40" t="str">
        <x:v>boolean_text</x:v>
      </x:c>
      <x:c r="B2" s="41" t="str">
        <x:v>TRUE</x:v>
      </x:c>
      <x:c r="C2" s="41" t="n">
        <x:v>1</x:v>
      </x:c>
      <x:c r="D2" s="42" t="b">
        <x:v>1</x:v>
      </x:c>
      <x:c r="E2" s="104" t="str"/>
    </x:row>
    <x:row r="3">
      <x:c r="A3" s="44" t="str">
        <x:v>boolean_text</x:v>
      </x:c>
      <x:c r="B3" s="45" t="str">
        <x:v>FALSE</x:v>
      </x:c>
      <x:c r="C3" s="45" t="n">
        <x:v>2</x:v>
      </x:c>
      <x:c r="D3" s="46" t="b">
        <x:v>1</x:v>
      </x:c>
      <x:c r="E3" s="105" t="str"/>
    </x:row>
    <x:row r="4">
      <x:c r="A4" s="44" t="str">
        <x:v>boolean_int</x:v>
      </x:c>
      <x:c r="B4" s="45" t="str">
        <x:v>0</x:v>
      </x:c>
      <x:c r="C4" s="45" t="n">
        <x:v>1</x:v>
      </x:c>
      <x:c r="D4" s="46" t="b">
        <x:v>1</x:v>
      </x:c>
      <x:c r="E4" s="105" t="str"/>
    </x:row>
    <x:row r="5">
      <x:c r="A5" s="44" t="str">
        <x:v>boolean_int</x:v>
      </x:c>
      <x:c r="B5" s="45" t="str">
        <x:v>1</x:v>
      </x:c>
      <x:c r="C5" s="45" t="n">
        <x:v>2</x:v>
      </x:c>
      <x:c r="D5" s="46" t="b">
        <x:v>1</x:v>
      </x:c>
      <x:c r="E5" s="105" t="str"/>
    </x:row>
    <x:row r="6">
      <x:c r="A6" s="44" t="str">
        <x:v>role</x:v>
      </x:c>
      <x:c r="B6" s="45" t="str">
        <x:v>owner</x:v>
      </x:c>
      <x:c r="C6" s="45" t="n">
        <x:v>1</x:v>
      </x:c>
      <x:c r="D6" s="46" t="b">
        <x:v>1</x:v>
      </x:c>
      <x:c r="E6" s="105" t="str"/>
    </x:row>
    <x:row r="7">
      <x:c r="A7" s="44" t="str">
        <x:v>role</x:v>
      </x:c>
      <x:c r="B7" s="45" t="str">
        <x:v>admin</x:v>
      </x:c>
      <x:c r="C7" s="45" t="n">
        <x:v>2</x:v>
      </x:c>
      <x:c r="D7" s="46" t="b">
        <x:v>1</x:v>
      </x:c>
      <x:c r="E7" s="105" t="str"/>
    </x:row>
    <x:row r="8">
      <x:c r="A8" s="44" t="str">
        <x:v>role</x:v>
      </x:c>
      <x:c r="B8" s="45" t="str">
        <x:v>guest</x:v>
      </x:c>
      <x:c r="C8" s="45" t="n">
        <x:v>3</x:v>
      </x:c>
      <x:c r="D8" s="46" t="b">
        <x:v>0</x:v>
      </x:c>
      <x:c r="E8" s="105" t="str">
        <x:v>Not currently enabled</x:v>
      </x:c>
    </x:row>
    <x:row r="9">
      <x:c r="A9" s="44" t="str">
        <x:v>direction</x:v>
      </x:c>
      <x:c r="B9" s="45" t="str">
        <x:v>ltr</x:v>
      </x:c>
      <x:c r="C9" s="45" t="n">
        <x:v>1</x:v>
      </x:c>
      <x:c r="D9" s="46" t="b">
        <x:v>1</x:v>
      </x:c>
      <x:c r="E9" s="105" t="str"/>
    </x:row>
    <x:row r="10">
      <x:c r="A10" s="44" t="str">
        <x:v>direction</x:v>
      </x:c>
      <x:c r="B10" s="45" t="str">
        <x:v>rtl</x:v>
      </x:c>
      <x:c r="C10" s="45" t="n">
        <x:v>2</x:v>
      </x:c>
      <x:c r="D10" s="46" t="b">
        <x:v>1</x:v>
      </x:c>
      <x:c r="E10" s="105" t="str"/>
    </x:row>
    <x:row r="11">
      <x:c r="A11" s="44" t="str">
        <x:v>locale</x:v>
      </x:c>
      <x:c r="B11" s="45" t="str">
        <x:v>en</x:v>
      </x:c>
      <x:c r="C11" s="45" t="n">
        <x:v>1</x:v>
      </x:c>
      <x:c r="D11" s="46" t="b">
        <x:v>1</x:v>
      </x:c>
      <x:c r="E11" s="105" t="str"/>
    </x:row>
    <x:row r="12">
      <x:c r="A12" s="44" t="str">
        <x:v>locale</x:v>
      </x:c>
      <x:c r="B12" s="45" t="str">
        <x:v>ar-EG</x:v>
      </x:c>
      <x:c r="C12" s="45" t="n">
        <x:v>2</x:v>
      </x:c>
      <x:c r="D12" s="46" t="b">
        <x:v>1</x:v>
      </x:c>
      <x:c r="E12" s="105" t="str"/>
    </x:row>
    <x:row r="13">
      <x:c r="A13" s="44" t="str">
        <x:v>locale</x:v>
      </x:c>
      <x:c r="B13" s="45" t="str">
        <x:v>it</x:v>
      </x:c>
      <x:c r="C13" s="45" t="n">
        <x:v>3</x:v>
      </x:c>
      <x:c r="D13" s="46" t="b">
        <x:v>1</x:v>
      </x:c>
      <x:c r="E13" s="105" t="str"/>
    </x:row>
    <x:row r="14">
      <x:c r="A14" s="44" t="str">
        <x:v>locale</x:v>
      </x:c>
      <x:c r="B14" s="45" t="str">
        <x:v>el</x:v>
      </x:c>
      <x:c r="C14" s="45" t="n">
        <x:v>4</x:v>
      </x:c>
      <x:c r="D14" s="46" t="b">
        <x:v>1</x:v>
      </x:c>
      <x:c r="E14" s="105" t="str"/>
    </x:row>
    <x:row r="15">
      <x:c r="A15" s="44" t="str">
        <x:v>locale</x:v>
      </x:c>
      <x:c r="B15" s="45" t="str">
        <x:v>fr</x:v>
      </x:c>
      <x:c r="C15" s="45" t="n">
        <x:v>5</x:v>
      </x:c>
      <x:c r="D15" s="46" t="b">
        <x:v>1</x:v>
      </x:c>
      <x:c r="E15" s="105" t="str"/>
    </x:row>
    <x:row r="16">
      <x:c r="A16" s="44" t="str">
        <x:v>progress_status</x:v>
      </x:c>
      <x:c r="B16" s="45" t="str">
        <x:v>not_started</x:v>
      </x:c>
      <x:c r="C16" s="45" t="n">
        <x:v>1</x:v>
      </x:c>
      <x:c r="D16" s="46" t="b">
        <x:v>1</x:v>
      </x:c>
      <x:c r="E16" s="105" t="str"/>
    </x:row>
    <x:row r="17">
      <x:c r="A17" s="44" t="str">
        <x:v>progress_status</x:v>
      </x:c>
      <x:c r="B17" s="45" t="str">
        <x:v>active</x:v>
      </x:c>
      <x:c r="C17" s="45" t="n">
        <x:v>2</x:v>
      </x:c>
      <x:c r="D17" s="46" t="b">
        <x:v>1</x:v>
      </x:c>
      <x:c r="E17" s="105" t="str"/>
    </x:row>
    <x:row r="18">
      <x:c r="A18" s="44" t="str">
        <x:v>progress_status</x:v>
      </x:c>
      <x:c r="B18" s="45" t="str">
        <x:v>completed</x:v>
      </x:c>
      <x:c r="C18" s="45" t="n">
        <x:v>3</x:v>
      </x:c>
      <x:c r="D18" s="46" t="b">
        <x:v>1</x:v>
      </x:c>
      <x:c r="E18" s="105" t="str"/>
    </x:row>
    <x:row r="19">
      <x:c r="A19" s="44" t="str">
        <x:v>session_status</x:v>
      </x:c>
      <x:c r="B19" s="45" t="str">
        <x:v>active</x:v>
      </x:c>
      <x:c r="C19" s="45" t="n">
        <x:v>1</x:v>
      </x:c>
      <x:c r="D19" s="46" t="b">
        <x:v>1</x:v>
      </x:c>
      <x:c r="E19" s="105" t="str"/>
    </x:row>
    <x:row r="20">
      <x:c r="A20" s="44" t="str">
        <x:v>session_status</x:v>
      </x:c>
      <x:c r="B20" s="45" t="str">
        <x:v>expired</x:v>
      </x:c>
      <x:c r="C20" s="45" t="n">
        <x:v>2</x:v>
      </x:c>
      <x:c r="D20" s="46" t="b">
        <x:v>1</x:v>
      </x:c>
      <x:c r="E20" s="105" t="str"/>
    </x:row>
    <x:row r="21">
      <x:c r="A21" s="44" t="str">
        <x:v>session_status</x:v>
      </x:c>
      <x:c r="B21" s="45" t="str">
        <x:v>terminated</x:v>
      </x:c>
      <x:c r="C21" s="45" t="n">
        <x:v>3</x:v>
      </x:c>
      <x:c r="D21" s="46" t="b">
        <x:v>1</x:v>
      </x:c>
      <x:c r="E21" s="105" t="str"/>
    </x:row>
    <x:row r="22">
      <x:c r="A22" s="44" t="str">
        <x:v>message_read_status</x:v>
      </x:c>
      <x:c r="B22" s="45" t="str">
        <x:v>unread</x:v>
      </x:c>
      <x:c r="C22" s="45" t="n">
        <x:v>1</x:v>
      </x:c>
      <x:c r="D22" s="46" t="b">
        <x:v>1</x:v>
      </x:c>
      <x:c r="E22" s="105" t="str"/>
    </x:row>
    <x:row r="23">
      <x:c r="A23" s="44" t="str">
        <x:v>message_read_status</x:v>
      </x:c>
      <x:c r="B23" s="45" t="str">
        <x:v>read</x:v>
      </x:c>
      <x:c r="C23" s="45" t="n">
        <x:v>2</x:v>
      </x:c>
      <x:c r="D23" s="46" t="b">
        <x:v>1</x:v>
      </x:c>
      <x:c r="E23" s="105" t="str"/>
    </x:row>
    <x:row r="24">
      <x:c r="A24" s="44" t="str">
        <x:v>message_read_status</x:v>
      </x:c>
      <x:c r="B24" s="45" t="str">
        <x:v>archived</x:v>
      </x:c>
      <x:c r="C24" s="45" t="n">
        <x:v>3</x:v>
      </x:c>
      <x:c r="D24" s="46" t="b">
        <x:v>1</x:v>
      </x:c>
      <x:c r="E24" s="105" t="str"/>
    </x:row>
    <x:row r="25">
      <x:c r="A25" s="44" t="str">
        <x:v>farm_state</x:v>
      </x:c>
      <x:c r="B25" s="45" t="str">
        <x:v>empty</x:v>
      </x:c>
      <x:c r="C25" s="45" t="n">
        <x:v>1</x:v>
      </x:c>
      <x:c r="D25" s="46" t="b">
        <x:v>1</x:v>
      </x:c>
      <x:c r="E25" s="105" t="str"/>
    </x:row>
    <x:row r="26">
      <x:c r="A26" s="44" t="str">
        <x:v>farm_state</x:v>
      </x:c>
      <x:c r="B26" s="45" t="str">
        <x:v>planted</x:v>
      </x:c>
      <x:c r="C26" s="45" t="n">
        <x:v>2</x:v>
      </x:c>
      <x:c r="D26" s="46" t="b">
        <x:v>1</x:v>
      </x:c>
      <x:c r="E26" s="105" t="str"/>
    </x:row>
    <x:row r="27">
      <x:c r="A27" s="44" t="str">
        <x:v>farm_state</x:v>
      </x:c>
      <x:c r="B27" s="45" t="str">
        <x:v>growing</x:v>
      </x:c>
      <x:c r="C27" s="45" t="n">
        <x:v>3</x:v>
      </x:c>
      <x:c r="D27" s="46" t="b">
        <x:v>1</x:v>
      </x:c>
      <x:c r="E27" s="105" t="str"/>
    </x:row>
    <x:row r="28">
      <x:c r="A28" s="44" t="str">
        <x:v>farm_state</x:v>
      </x:c>
      <x:c r="B28" s="45" t="str">
        <x:v>wilted</x:v>
      </x:c>
      <x:c r="C28" s="45" t="n">
        <x:v>4</x:v>
      </x:c>
      <x:c r="D28" s="46" t="b">
        <x:v>1</x:v>
      </x:c>
      <x:c r="E28" s="105" t="str"/>
    </x:row>
    <x:row r="29">
      <x:c r="A29" s="44" t="str">
        <x:v>farm_state</x:v>
      </x:c>
      <x:c r="B29" s="45" t="str">
        <x:v>ready</x:v>
      </x:c>
      <x:c r="C29" s="45" t="n">
        <x:v>5</x:v>
      </x:c>
      <x:c r="D29" s="46" t="b">
        <x:v>1</x:v>
      </x:c>
      <x:c r="E29" s="105" t="str"/>
    </x:row>
    <x:row r="30">
      <x:c r="A30" s="44" t="str">
        <x:v>review_status</x:v>
      </x:c>
      <x:c r="B30" s="45" t="str">
        <x:v>draft</x:v>
      </x:c>
      <x:c r="C30" s="45" t="n">
        <x:v>1</x:v>
      </x:c>
      <x:c r="D30" s="46" t="b">
        <x:v>1</x:v>
      </x:c>
      <x:c r="E30" s="105" t="str"/>
    </x:row>
    <x:row r="31">
      <x:c r="A31" s="44" t="str">
        <x:v>review_status</x:v>
      </x:c>
      <x:c r="B31" s="45" t="str">
        <x:v>pending_review</x:v>
      </x:c>
      <x:c r="C31" s="45" t="n">
        <x:v>2</x:v>
      </x:c>
      <x:c r="D31" s="46" t="b">
        <x:v>1</x:v>
      </x:c>
      <x:c r="E31" s="105" t="str"/>
    </x:row>
    <x:row r="32">
      <x:c r="A32" s="44" t="str">
        <x:v>review_status</x:v>
      </x:c>
      <x:c r="B32" s="45" t="str">
        <x:v>approved</x:v>
      </x:c>
      <x:c r="C32" s="45" t="n">
        <x:v>3</x:v>
      </x:c>
      <x:c r="D32" s="46" t="b">
        <x:v>1</x:v>
      </x:c>
      <x:c r="E32" s="105" t="str"/>
    </x:row>
    <x:row r="33">
      <x:c r="A33" s="44" t="str">
        <x:v>review_status</x:v>
      </x:c>
      <x:c r="B33" s="45" t="str">
        <x:v>rejected</x:v>
      </x:c>
      <x:c r="C33" s="45" t="n">
        <x:v>4</x:v>
      </x:c>
      <x:c r="D33" s="46" t="b">
        <x:v>1</x:v>
      </x:c>
      <x:c r="E33" s="105" t="str"/>
    </x:row>
    <x:row r="34">
      <x:c r="A34" s="44" t="str">
        <x:v>location</x:v>
      </x:c>
      <x:c r="B34" s="45" t="str">
        <x:v>gate</x:v>
      </x:c>
      <x:c r="C34" s="45" t="n">
        <x:v>1</x:v>
      </x:c>
      <x:c r="D34" s="46" t="b">
        <x:v>1</x:v>
      </x:c>
      <x:c r="E34" s="105" t="str"/>
    </x:row>
    <x:row r="35">
      <x:c r="A35" s="44" t="str">
        <x:v>location</x:v>
      </x:c>
      <x:c r="B35" s="45" t="str">
        <x:v>beach</x:v>
      </x:c>
      <x:c r="C35" s="45" t="n">
        <x:v>2</x:v>
      </x:c>
      <x:c r="D35" s="46" t="b">
        <x:v>1</x:v>
      </x:c>
      <x:c r="E35" s="105" t="str"/>
    </x:row>
    <x:row r="36">
      <x:c r="A36" s="44" t="str">
        <x:v>location</x:v>
      </x:c>
      <x:c r="B36" s="45" t="str">
        <x:v>church</x:v>
      </x:c>
      <x:c r="C36" s="45" t="n">
        <x:v>3</x:v>
      </x:c>
      <x:c r="D36" s="46" t="b">
        <x:v>1</x:v>
      </x:c>
      <x:c r="E36" s="105" t="str"/>
    </x:row>
    <x:row r="37">
      <x:c r="A37" s="44" t="str">
        <x:v>location</x:v>
      </x:c>
      <x:c r="B37" s="45" t="str">
        <x:v>cafe</x:v>
      </x:c>
      <x:c r="C37" s="45" t="n">
        <x:v>4</x:v>
      </x:c>
      <x:c r="D37" s="46" t="b">
        <x:v>1</x:v>
      </x:c>
      <x:c r="E37" s="105" t="str"/>
    </x:row>
    <x:row r="38">
      <x:c r="A38" s="44" t="str">
        <x:v>location</x:v>
      </x:c>
      <x:c r="B38" s="45" t="str">
        <x:v>arcade</x:v>
      </x:c>
      <x:c r="C38" s="45" t="n">
        <x:v>5</x:v>
      </x:c>
      <x:c r="D38" s="46" t="b">
        <x:v>1</x:v>
      </x:c>
      <x:c r="E38" s="105" t="str"/>
    </x:row>
    <x:row r="39">
      <x:c r="A39" s="44" t="str">
        <x:v>location</x:v>
      </x:c>
      <x:c r="B39" s="45" t="str">
        <x:v>cottage</x:v>
      </x:c>
      <x:c r="C39" s="45" t="n">
        <x:v>6</x:v>
      </x:c>
      <x:c r="D39" s="46" t="b">
        <x:v>1</x:v>
      </x:c>
      <x:c r="E39" s="105" t="str"/>
    </x:row>
    <x:row r="40">
      <x:c r="A40" s="44" t="str">
        <x:v>location</x:v>
      </x:c>
      <x:c r="B40" s="45" t="str">
        <x:v>farm</x:v>
      </x:c>
      <x:c r="C40" s="45" t="n">
        <x:v>7</x:v>
      </x:c>
      <x:c r="D40" s="46" t="b">
        <x:v>1</x:v>
      </x:c>
      <x:c r="E40" s="105" t="str"/>
    </x:row>
    <x:row r="41">
      <x:c r="A41" s="44" t="str">
        <x:v>location</x:v>
      </x:c>
      <x:c r="B41" s="45" t="str">
        <x:v>museum</x:v>
      </x:c>
      <x:c r="C41" s="45" t="n">
        <x:v>8</x:v>
      </x:c>
      <x:c r="D41" s="46" t="b">
        <x:v>1</x:v>
      </x:c>
      <x:c r="E41" s="105" t="str"/>
    </x:row>
    <x:row r="42">
      <x:c r="A42" s="48" t="str">
        <x:v>location</x:v>
      </x:c>
      <x:c r="B42" s="49" t="str">
        <x:v>map</x:v>
      </x:c>
      <x:c r="C42" s="49" t="n">
        <x:v>9</x:v>
      </x:c>
      <x:c r="D42" s="50" t="b">
        <x:v>1</x:v>
      </x:c>
      <x:c r="E42" s="106" t="str"/>
    </x:row>
    <x:row r="43">
      <x:c r="A43" t="str">
        <x:v>storage_provider</x:v>
      </x:c>
      <x:c r="B43" t="str">
        <x:v>google_drive</x:v>
      </x:c>
      <x:c r="C43" t="n">
        <x:v>1</x:v>
      </x:c>
      <x:c r="D43" s="1" t="b">
        <x:v>1</x:v>
      </x:c>
      <x:c r="E43" t="str">
        <x:v>Approved media provider</x:v>
      </x:c>
    </x:row>
    <x:row r="44">
      <x:c r="A44" t="str">
        <x:v>var_speaker</x:v>
      </x:c>
      <x:c r="B44" t="str">
        <x:v>user</x:v>
      </x:c>
      <x:c r="C44" t="n">
        <x:v>1</x:v>
      </x:c>
      <x:c r="D44" s="1" t="b">
        <x:v>1</x:v>
      </x:c>
      <x:c r="E44"/>
    </x:row>
    <x:row r="45">
      <x:c r="A45" t="str">
        <x:v>var_speaker</x:v>
      </x:c>
      <x:c r="B45" t="str">
        <x:v>var</x:v>
      </x:c>
      <x:c r="C45" t="n">
        <x:v>2</x:v>
      </x:c>
      <x:c r="D45" s="1" t="b">
        <x:v>1</x:v>
      </x:c>
      <x:c r="E45"/>
    </x:row>
    <x:row r="46">
      <x:c r="A46" t="str">
        <x:v>var_speaker</x:v>
      </x:c>
      <x:c r="B46" t="str">
        <x:v>system</x:v>
      </x:c>
      <x:c r="C46" t="n">
        <x:v>3</x:v>
      </x:c>
      <x:c r="D46" s="1" t="b">
        <x:v>1</x:v>
      </x:c>
      <x:c r="E46"/>
    </x:row>
    <x:row r="47">
      <x:c r="A47" t="str">
        <x:v>memory_category</x:v>
      </x:c>
      <x:c r="B47" t="str">
        <x:v>preference</x:v>
      </x:c>
      <x:c r="C47" t="n">
        <x:v>1</x:v>
      </x:c>
      <x:c r="D47" s="1" t="b">
        <x:v>1</x:v>
      </x:c>
      <x:c r="E47"/>
    </x:row>
    <x:row r="48">
      <x:c r="A48" t="str">
        <x:v>memory_category</x:v>
      </x:c>
      <x:c r="B48" t="str">
        <x:v>place</x:v>
      </x:c>
      <x:c r="C48" t="n">
        <x:v>2</x:v>
      </x:c>
      <x:c r="D48" s="1" t="b">
        <x:v>1</x:v>
      </x:c>
      <x:c r="E48"/>
    </x:row>
    <x:row r="49">
      <x:c r="A49" t="str">
        <x:v>memory_category</x:v>
      </x:c>
      <x:c r="B49" t="str">
        <x:v>choice</x:v>
      </x:c>
      <x:c r="C49" t="n">
        <x:v>3</x:v>
      </x:c>
      <x:c r="D49" s="1" t="b">
        <x:v>1</x:v>
      </x:c>
      <x:c r="E49"/>
    </x:row>
    <x:row r="50">
      <x:c r="A50" t="str">
        <x:v>memory_category</x:v>
      </x:c>
      <x:c r="B50" t="str">
        <x:v>achievement</x:v>
      </x:c>
      <x:c r="C50" t="n">
        <x:v>4</x:v>
      </x:c>
      <x:c r="D50" s="1" t="b">
        <x:v>1</x:v>
      </x:c>
      <x:c r="E50"/>
    </x:row>
    <x:row r="51">
      <x:c r="A51" t="str">
        <x:v>memory_category</x:v>
      </x:c>
      <x:c r="B51" t="str">
        <x:v>mood</x:v>
      </x:c>
      <x:c r="C51" t="n">
        <x:v>5</x:v>
      </x:c>
      <x:c r="D51" s="1" t="b">
        <x:v>1</x:v>
      </x:c>
      <x:c r="E51"/>
    </x:row>
    <x:row r="52">
      <x:c r="A52" t="str">
        <x:v>memory_category</x:v>
      </x:c>
      <x:c r="B52" t="str">
        <x:v>relationship</x:v>
      </x:c>
      <x:c r="C52" t="n">
        <x:v>6</x:v>
      </x:c>
      <x:c r="D52" s="1" t="b">
        <x:v>1</x:v>
      </x:c>
      <x:c r="E52"/>
    </x:row>
  </x:sheetData>
  <x:conditionalFormatting sqref="D2:D5000">
    <x:cfRule type="cellIs" dxfId="52" priority="1" operator="equal">
      <x:formula>FALSE</x:formula>
    </x:cfRule>
    <x:cfRule type="cellIs" dxfId="53" priority="2" operator="equal">
      <x:formula>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cd88f74bfb943bf"/>
  </x:tableParts>
</x:worksheet>
</file>

<file path=xl/worksheets/sheet4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44" hidden="0" customWidth="1"/>
    <x:col min="10" max="10" width="28" hidden="0" customWidth="1"/>
    <x:col min="11" max="11" width="2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34" hidden="0" customWidth="1"/>
  </x:cols>
  <x:sheetData>
    <x:row r="1">
      <x:c r="A1" s="297" t="str">
        <x:v>turn_id</x:v>
      </x:c>
      <x:c r="B1" s="297" t="str">
        <x:v>conversation_id</x:v>
      </x:c>
      <x:c r="C1" s="297" t="str">
        <x:v>user_id</x:v>
      </x:c>
      <x:c r="D1" s="297" t="str">
        <x:v>session_id</x:v>
      </x:c>
      <x:c r="E1" s="297" t="str">
        <x:v>character_id</x:v>
      </x:c>
      <x:c r="F1" s="297" t="str">
        <x:v>sequence</x:v>
      </x:c>
      <x:c r="G1" s="297" t="str">
        <x:v>speaker</x:v>
      </x:c>
      <x:c r="H1" s="297" t="str">
        <x:v>locale</x:v>
      </x:c>
      <x:c r="I1" s="297" t="str">
        <x:v>message_text</x:v>
      </x:c>
      <x:c r="J1" s="297" t="str">
        <x:v>gemini_interaction_id</x:v>
      </x:c>
      <x:c r="K1" s="297" t="str">
        <x:v>previous_interaction_id</x:v>
      </x:c>
      <x:c r="L1" s="297" t="str">
        <x:v>created_at</x:v>
      </x:c>
      <x:c r="M1" s="297" t="str">
        <x:v>model_id</x:v>
      </x:c>
      <x:c r="N1" s="297" t="str">
        <x:v>input_tokens</x:v>
      </x:c>
      <x:c r="O1" s="297" t="str">
        <x:v>output_tokens</x:v>
      </x:c>
      <x:c r="P1" s="297" t="str">
        <x:v>status</x:v>
      </x:c>
      <x:c r="Q1" s="297" t="str">
        <x:v>visible_to_player</x:v>
      </x:c>
      <x:c r="R1" s="297" t="str">
        <x:v>notes</x:v>
      </x:c>
    </x:row>
    <x:row r="2">
      <x:c r="A2" s="297" t="str">
        <x:v>turn_sample_001</x:v>
      </x:c>
      <x:c r="B2" s="297" t="str">
        <x:v>conv_sample_001</x:v>
      </x:c>
      <x:c r="C2" s="297" t="str">
        <x:v>veoulla</x:v>
      </x:c>
      <x:c r="D2" s="297" t="str">
        <x:v>sess_sample_001</x:v>
      </x:c>
      <x:c r="E2" s="297" t="str">
        <x:v>var</x:v>
      </x:c>
      <x:c r="F2" s="297" t="n">
        <x:v>1</x:v>
      </x:c>
      <x:c r="G2" s="297" t="str">
        <x:v>system</x:v>
      </x:c>
      <x:c r="H2" s="297" t="str">
        <x:v>en</x:v>
      </x:c>
      <x:c r="I2" s="297" t="str">
        <x:v>&lt;SAMPLE_ONLY&gt;</x:v>
      </x:c>
      <x:c r="J2" s="297"/>
      <x:c r="K2" s="297"/>
      <x:c r="L2" s="297"/>
      <x:c r="M2" s="297" t="str">
        <x:v>&lt;MODEL_ID&gt;</x:v>
      </x:c>
      <x:c r="N2" s="297" t="n">
        <x:v>0</x:v>
      </x:c>
      <x:c r="O2" s="297" t="n">
        <x:v>0</x:v>
      </x:c>
      <x:c r="P2" s="297" t="str">
        <x:v>sample</x:v>
      </x:c>
      <x:c r="Q2" s="298" t="b">
        <x:v>0</x:v>
      </x:c>
      <x:c r="R2" s="297" t="str">
        <x:v>Delete sample after connection test</x:v>
      </x:c>
    </x:row>
  </x:sheetData>
  <x:pageMargins left="0.7" right="0.7" top="0.75" bottom="0.75" header="0.3" footer="0.3"/>
  <x:tableParts count="1">
    <x:tablePart xmlns:r="http://schemas.openxmlformats.org/officeDocument/2006/relationships" r:id="Rbe5e6219ffe74e08"/>
  </x:tableParts>
</x:worksheet>
</file>

<file path=xl/worksheets/sheet4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6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34" hidden="0" customWidth="1"/>
  </x:cols>
  <x:sheetData>
    <x:row r="1">
      <x:c r="A1" s="297" t="str">
        <x:v>memory_id</x:v>
      </x:c>
      <x:c r="B1" s="297" t="str">
        <x:v>user_id</x:v>
      </x:c>
      <x:c r="C1" s="297" t="str">
        <x:v>character_id</x:v>
      </x:c>
      <x:c r="D1" s="297" t="str">
        <x:v>category</x:v>
      </x:c>
      <x:c r="E1" s="297" t="str">
        <x:v>summary</x:v>
      </x:c>
      <x:c r="F1" s="297" t="str">
        <x:v>source_conversation_id</x:v>
      </x:c>
      <x:c r="G1" s="297" t="str">
        <x:v>importance</x:v>
      </x:c>
      <x:c r="H1" s="297" t="str">
        <x:v>first_seen_at</x:v>
      </x:c>
      <x:c r="I1" s="297" t="str">
        <x:v>last_confirmed_at</x:v>
      </x:c>
      <x:c r="J1" s="297" t="str">
        <x:v>expires_at</x:v>
      </x:c>
      <x:c r="K1" s="297" t="str">
        <x:v>active</x:v>
      </x:c>
      <x:c r="L1" s="297" t="str">
        <x:v>admin_approved</x:v>
      </x:c>
      <x:c r="M1" s="297" t="str">
        <x:v>notes</x:v>
      </x:c>
    </x:row>
    <x:row r="2">
      <x:c r="A2" s="297" t="str">
        <x:v>memory_sample_001</x:v>
      </x:c>
      <x:c r="B2" s="297" t="str">
        <x:v>veoulla</x:v>
      </x:c>
      <x:c r="C2" s="297" t="str">
        <x:v>var</x:v>
      </x:c>
      <x:c r="D2" s="297" t="str">
        <x:v>preference</x:v>
      </x:c>
      <x:c r="E2" s="297" t="str">
        <x:v>&lt;SAMPLE_ONLY&gt;</x:v>
      </x:c>
      <x:c r="F2" s="297" t="str">
        <x:v>conv_sample_001</x:v>
      </x:c>
      <x:c r="G2" s="297" t="n">
        <x:v>1</x:v>
      </x:c>
      <x:c r="H2" s="297"/>
      <x:c r="I2" s="297"/>
      <x:c r="J2" s="297"/>
      <x:c r="K2" s="298" t="b">
        <x:v>0</x:v>
      </x:c>
      <x:c r="L2" s="298" t="b">
        <x:v>0</x:v>
      </x:c>
      <x:c r="M2" s="297" t="str">
        <x:v>Delete sample after connection test</x:v>
      </x:c>
    </x:row>
  </x:sheetData>
  <x:pageMargins left="0.7" right="0.7" top="0.75" bottom="0.75" header="0.3" footer="0.3"/>
  <x:tableParts count="1">
    <x:tablePart xmlns:r="http://schemas.openxmlformats.org/officeDocument/2006/relationships" r:id="R4278a64ab7114b22"/>
  </x:tableParts>
</x:worksheet>
</file>